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Sheet1" sheetId="1" r:id="rId1"/>
    <sheet name="Datasheet" sheetId="2" r:id="rId2"/>
    <sheet name="Helical Gear Calculation" sheetId="4" r:id="rId3"/>
    <sheet name="Tolerance" sheetId="3" r:id="rId4"/>
    <sheet name="Spline" sheetId="5" r:id="rId5"/>
  </sheets>
  <functionGroups builtInGroupCount="18"/>
  <externalReferences>
    <externalReference r:id="rId6"/>
  </externalReferences>
  <definedNames>
    <definedName name="_xlnm._FilterDatabase" localSheetId="1" hidden="1">Datasheet!$D$10:$T$40</definedName>
    <definedName name="b">[1]Sheet1!$AB$4</definedName>
    <definedName name="den">[1]Sheet1!$A$4</definedName>
    <definedName name="maxdia">[1]Sheet1!$X$4</definedName>
    <definedName name="_xlnm.Print_Area" localSheetId="1">Datasheet!$D$10:$T$40</definedName>
    <definedName name="_xlnm.Print_Area" localSheetId="2">'Helical Gear Calculation'!$B$57:$F$82</definedName>
  </definedNames>
  <calcPr calcId="152511"/>
</workbook>
</file>

<file path=xl/calcChain.xml><?xml version="1.0" encoding="utf-8"?>
<calcChain xmlns="http://schemas.openxmlformats.org/spreadsheetml/2006/main">
  <c r="J108" i="2" l="1"/>
  <c r="K105" i="2"/>
  <c r="K104" i="2"/>
  <c r="E35" i="4"/>
  <c r="G77" i="4"/>
  <c r="O73" i="2"/>
  <c r="N73" i="2"/>
  <c r="J107" i="2"/>
  <c r="J106" i="2"/>
  <c r="K93" i="2"/>
  <c r="K94" i="2"/>
  <c r="K95" i="2"/>
  <c r="K96" i="2"/>
  <c r="K97" i="2"/>
  <c r="K98" i="2"/>
  <c r="K99" i="2"/>
  <c r="K100" i="2"/>
  <c r="K101" i="2"/>
  <c r="K102" i="2"/>
  <c r="K103" i="2"/>
  <c r="K92" i="2"/>
  <c r="J93" i="2"/>
  <c r="J94" i="2"/>
  <c r="J95" i="2"/>
  <c r="J96" i="2"/>
  <c r="J97" i="2"/>
  <c r="J98" i="2"/>
  <c r="J99" i="2"/>
  <c r="J100" i="2"/>
  <c r="J101" i="2"/>
  <c r="J102" i="2"/>
  <c r="J103" i="2"/>
  <c r="J92" i="2"/>
  <c r="C3" i="3"/>
  <c r="A50" i="3"/>
  <c r="A51" i="3"/>
  <c r="A52" i="3"/>
  <c r="A53" i="3"/>
  <c r="A54" i="3"/>
  <c r="A55" i="3"/>
  <c r="A56" i="3"/>
  <c r="A57" i="3"/>
  <c r="A58" i="3"/>
  <c r="A59" i="3"/>
  <c r="A60" i="3"/>
  <c r="A74" i="3"/>
  <c r="A75" i="3"/>
  <c r="A76" i="3"/>
  <c r="A77" i="3"/>
  <c r="A78" i="3"/>
  <c r="A79" i="3"/>
  <c r="A80" i="3"/>
  <c r="A81" i="3"/>
  <c r="A82" i="3"/>
  <c r="A83" i="3"/>
  <c r="A84" i="3"/>
  <c r="A8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73" i="3" s="1"/>
  <c r="A31" i="3"/>
  <c r="A72" i="3" s="1"/>
  <c r="A30" i="3"/>
  <c r="A71" i="3" s="1"/>
  <c r="A29" i="3"/>
  <c r="A70" i="3" s="1"/>
  <c r="A28" i="3"/>
  <c r="A69" i="3" s="1"/>
  <c r="A27" i="3"/>
  <c r="A68" i="3" s="1"/>
  <c r="A26" i="3"/>
  <c r="A67" i="3" s="1"/>
  <c r="A25" i="3"/>
  <c r="A66" i="3" s="1"/>
  <c r="A24" i="3"/>
  <c r="A65" i="3" s="1"/>
  <c r="A23" i="3"/>
  <c r="A64" i="3" s="1"/>
  <c r="A22" i="3"/>
  <c r="A63" i="3" s="1"/>
  <c r="A21" i="3"/>
  <c r="A62" i="3" s="1"/>
  <c r="A20" i="3"/>
  <c r="A61" i="3" s="1"/>
  <c r="A19" i="3"/>
  <c r="A18" i="3"/>
  <c r="A17" i="3"/>
  <c r="A16" i="3"/>
  <c r="A15" i="3"/>
  <c r="A14" i="3"/>
  <c r="A13" i="3"/>
  <c r="A12" i="3"/>
  <c r="A11" i="3"/>
  <c r="A10" i="3"/>
  <c r="A9" i="3"/>
  <c r="A8" i="3"/>
  <c r="A49" i="3" s="1"/>
  <c r="H99" i="3"/>
  <c r="J99" i="3"/>
  <c r="L99" i="3"/>
  <c r="N99" i="3"/>
  <c r="O99" i="3" s="1"/>
  <c r="Q99" i="3"/>
  <c r="R99" i="3" s="1"/>
  <c r="T99" i="3"/>
  <c r="V99" i="3"/>
  <c r="H100" i="3"/>
  <c r="J100" i="3"/>
  <c r="L100" i="3"/>
  <c r="N100" i="3"/>
  <c r="O100" i="3" s="1"/>
  <c r="Q100" i="3"/>
  <c r="R100" i="3" s="1"/>
  <c r="T100" i="3"/>
  <c r="V100" i="3"/>
  <c r="H101" i="3"/>
  <c r="J101" i="3"/>
  <c r="L101" i="3"/>
  <c r="N101" i="3"/>
  <c r="O101" i="3" s="1"/>
  <c r="Q101" i="3"/>
  <c r="R101" i="3" s="1"/>
  <c r="T101" i="3"/>
  <c r="V101" i="3"/>
  <c r="H102" i="3"/>
  <c r="J102" i="3"/>
  <c r="L102" i="3"/>
  <c r="N102" i="3"/>
  <c r="O102" i="3" s="1"/>
  <c r="Q102" i="3"/>
  <c r="R102" i="3" s="1"/>
  <c r="T102" i="3"/>
  <c r="V102" i="3"/>
  <c r="H103" i="3"/>
  <c r="J103" i="3"/>
  <c r="L103" i="3"/>
  <c r="N103" i="3"/>
  <c r="O103" i="3" s="1"/>
  <c r="Q103" i="3"/>
  <c r="R103" i="3" s="1"/>
  <c r="T103" i="3"/>
  <c r="V103" i="3"/>
  <c r="H104" i="3"/>
  <c r="J104" i="3"/>
  <c r="L104" i="3"/>
  <c r="N104" i="3"/>
  <c r="O104" i="3" s="1"/>
  <c r="Q104" i="3"/>
  <c r="R104" i="3" s="1"/>
  <c r="T104" i="3"/>
  <c r="V104" i="3"/>
  <c r="H105" i="3"/>
  <c r="J105" i="3"/>
  <c r="L105" i="3"/>
  <c r="N105" i="3"/>
  <c r="Q105" i="3"/>
  <c r="R105" i="3" s="1"/>
  <c r="T105" i="3"/>
  <c r="V105" i="3"/>
  <c r="H106" i="3"/>
  <c r="J106" i="3"/>
  <c r="L106" i="3"/>
  <c r="N106" i="3"/>
  <c r="O106" i="3" s="1"/>
  <c r="Q106" i="3"/>
  <c r="R106" i="3"/>
  <c r="T106" i="3"/>
  <c r="V106" i="3"/>
  <c r="H107" i="3"/>
  <c r="J107" i="3"/>
  <c r="L107" i="3"/>
  <c r="N107" i="3"/>
  <c r="O107" i="3" s="1"/>
  <c r="Q107" i="3"/>
  <c r="R107" i="3" s="1"/>
  <c r="T107" i="3"/>
  <c r="V107" i="3"/>
  <c r="H108" i="3"/>
  <c r="J108" i="3"/>
  <c r="L108" i="3"/>
  <c r="N108" i="3"/>
  <c r="O108" i="3" s="1"/>
  <c r="Q108" i="3"/>
  <c r="R108" i="3" s="1"/>
  <c r="T108" i="3"/>
  <c r="V108" i="3"/>
  <c r="H109" i="3"/>
  <c r="J109" i="3"/>
  <c r="L109" i="3"/>
  <c r="N109" i="3"/>
  <c r="Q109" i="3"/>
  <c r="R109" i="3" s="1"/>
  <c r="T109" i="3"/>
  <c r="V109" i="3"/>
  <c r="H110" i="3"/>
  <c r="J110" i="3"/>
  <c r="L110" i="3"/>
  <c r="N110" i="3"/>
  <c r="O110" i="3" s="1"/>
  <c r="Q110" i="3"/>
  <c r="R110" i="3" s="1"/>
  <c r="T110" i="3"/>
  <c r="V110" i="3"/>
  <c r="H111" i="3"/>
  <c r="J111" i="3"/>
  <c r="L111" i="3"/>
  <c r="N111" i="3"/>
  <c r="O111" i="3" s="1"/>
  <c r="Q111" i="3"/>
  <c r="R111" i="3" s="1"/>
  <c r="T111" i="3"/>
  <c r="V111" i="3"/>
  <c r="H112" i="3"/>
  <c r="J112" i="3"/>
  <c r="L112" i="3"/>
  <c r="N112" i="3"/>
  <c r="O112" i="3"/>
  <c r="Q112" i="3"/>
  <c r="R112" i="3" s="1"/>
  <c r="T112" i="3"/>
  <c r="V112" i="3"/>
  <c r="H113" i="3"/>
  <c r="J113" i="3"/>
  <c r="L113" i="3"/>
  <c r="N113" i="3"/>
  <c r="O113" i="3" s="1"/>
  <c r="Q113" i="3"/>
  <c r="R113" i="3" s="1"/>
  <c r="T113" i="3"/>
  <c r="V113" i="3"/>
  <c r="H114" i="3"/>
  <c r="J114" i="3"/>
  <c r="L114" i="3"/>
  <c r="N114" i="3"/>
  <c r="O114" i="3" s="1"/>
  <c r="Q114" i="3"/>
  <c r="R114" i="3"/>
  <c r="T114" i="3"/>
  <c r="V114" i="3"/>
  <c r="H115" i="3"/>
  <c r="J115" i="3"/>
  <c r="L115" i="3"/>
  <c r="N115" i="3"/>
  <c r="O115" i="3" s="1"/>
  <c r="Q115" i="3"/>
  <c r="R115" i="3" s="1"/>
  <c r="T115" i="3"/>
  <c r="V115" i="3"/>
  <c r="H116" i="3"/>
  <c r="J116" i="3"/>
  <c r="L116" i="3"/>
  <c r="N116" i="3"/>
  <c r="O116" i="3" s="1"/>
  <c r="Q116" i="3"/>
  <c r="R116" i="3" s="1"/>
  <c r="T116" i="3"/>
  <c r="V116" i="3"/>
  <c r="H117" i="3"/>
  <c r="J117" i="3"/>
  <c r="L117" i="3"/>
  <c r="N117" i="3"/>
  <c r="O117" i="3" s="1"/>
  <c r="Q117" i="3"/>
  <c r="R117" i="3" s="1"/>
  <c r="T117" i="3"/>
  <c r="V117" i="3"/>
  <c r="H118" i="3"/>
  <c r="J118" i="3"/>
  <c r="L118" i="3"/>
  <c r="N118" i="3"/>
  <c r="O118" i="3" s="1"/>
  <c r="Q118" i="3"/>
  <c r="R118" i="3" s="1"/>
  <c r="T118" i="3"/>
  <c r="V118" i="3"/>
  <c r="H119" i="3"/>
  <c r="J119" i="3"/>
  <c r="L119" i="3"/>
  <c r="N119" i="3"/>
  <c r="O119" i="3" s="1"/>
  <c r="Q119" i="3"/>
  <c r="R119" i="3" s="1"/>
  <c r="T119" i="3"/>
  <c r="V119" i="3"/>
  <c r="H120" i="3"/>
  <c r="J120" i="3"/>
  <c r="L120" i="3"/>
  <c r="N120" i="3"/>
  <c r="O120" i="3" s="1"/>
  <c r="Q120" i="3"/>
  <c r="R120" i="3" s="1"/>
  <c r="T120" i="3"/>
  <c r="V120" i="3"/>
  <c r="H121" i="3"/>
  <c r="J121" i="3"/>
  <c r="L121" i="3"/>
  <c r="N121" i="3"/>
  <c r="O121" i="3" s="1"/>
  <c r="Q121" i="3"/>
  <c r="R121" i="3" s="1"/>
  <c r="T121" i="3"/>
  <c r="V121" i="3"/>
  <c r="H122" i="3"/>
  <c r="J122" i="3"/>
  <c r="L122" i="3"/>
  <c r="N122" i="3"/>
  <c r="O122" i="3" s="1"/>
  <c r="Q122" i="3"/>
  <c r="R122" i="3"/>
  <c r="T122" i="3"/>
  <c r="V122" i="3"/>
  <c r="H123" i="3"/>
  <c r="J123" i="3"/>
  <c r="L123" i="3"/>
  <c r="N123" i="3"/>
  <c r="O123" i="3" s="1"/>
  <c r="Q123" i="3"/>
  <c r="R123" i="3" s="1"/>
  <c r="T123" i="3"/>
  <c r="V123" i="3"/>
  <c r="H124" i="3"/>
  <c r="J124" i="3"/>
  <c r="L124" i="3"/>
  <c r="N124" i="3"/>
  <c r="O124" i="3" s="1"/>
  <c r="Q124" i="3"/>
  <c r="R124" i="3" s="1"/>
  <c r="T124" i="3"/>
  <c r="V124" i="3"/>
  <c r="H125" i="3"/>
  <c r="J125" i="3"/>
  <c r="L125" i="3"/>
  <c r="N125" i="3"/>
  <c r="O125" i="3" s="1"/>
  <c r="Q125" i="3"/>
  <c r="R125" i="3" s="1"/>
  <c r="T125" i="3"/>
  <c r="V125" i="3"/>
  <c r="H126" i="3"/>
  <c r="J126" i="3"/>
  <c r="L126" i="3"/>
  <c r="N126" i="3"/>
  <c r="O126" i="3" s="1"/>
  <c r="Q126" i="3"/>
  <c r="R126" i="3" s="1"/>
  <c r="T126" i="3"/>
  <c r="V126" i="3"/>
  <c r="H127" i="3"/>
  <c r="J127" i="3"/>
  <c r="L127" i="3"/>
  <c r="N127" i="3"/>
  <c r="O127" i="3" s="1"/>
  <c r="Q127" i="3"/>
  <c r="R127" i="3" s="1"/>
  <c r="T127" i="3"/>
  <c r="V127" i="3"/>
  <c r="H128" i="3"/>
  <c r="J128" i="3"/>
  <c r="L128" i="3"/>
  <c r="N128" i="3"/>
  <c r="O128" i="3"/>
  <c r="Q128" i="3"/>
  <c r="R128" i="3" s="1"/>
  <c r="T128" i="3"/>
  <c r="V128" i="3"/>
  <c r="H129" i="3"/>
  <c r="J129" i="3"/>
  <c r="L129" i="3"/>
  <c r="N129" i="3"/>
  <c r="O129" i="3" s="1"/>
  <c r="Q129" i="3"/>
  <c r="R129" i="3" s="1"/>
  <c r="T129" i="3"/>
  <c r="V129" i="3"/>
  <c r="H130" i="3"/>
  <c r="J130" i="3"/>
  <c r="L130" i="3"/>
  <c r="N130" i="3"/>
  <c r="O130" i="3" s="1"/>
  <c r="Q130" i="3"/>
  <c r="R130" i="3" s="1"/>
  <c r="T130" i="3"/>
  <c r="V130" i="3"/>
  <c r="H131" i="3"/>
  <c r="J131" i="3"/>
  <c r="L131" i="3"/>
  <c r="N131" i="3"/>
  <c r="O131" i="3" s="1"/>
  <c r="Q131" i="3"/>
  <c r="R131" i="3" s="1"/>
  <c r="T131" i="3"/>
  <c r="V131" i="3"/>
  <c r="H132" i="3"/>
  <c r="J132" i="3"/>
  <c r="L132" i="3"/>
  <c r="N132" i="3"/>
  <c r="O132" i="3" s="1"/>
  <c r="Q132" i="3"/>
  <c r="R132" i="3" s="1"/>
  <c r="T132" i="3"/>
  <c r="V132" i="3"/>
  <c r="H133" i="3"/>
  <c r="J133" i="3"/>
  <c r="L133" i="3"/>
  <c r="N133" i="3"/>
  <c r="O133" i="3" s="1"/>
  <c r="Q133" i="3"/>
  <c r="R133" i="3" s="1"/>
  <c r="T133" i="3"/>
  <c r="V133" i="3"/>
  <c r="H134" i="3"/>
  <c r="J134" i="3"/>
  <c r="L134" i="3"/>
  <c r="N134" i="3"/>
  <c r="O134" i="3" s="1"/>
  <c r="Q134" i="3"/>
  <c r="R134" i="3" s="1"/>
  <c r="T134" i="3"/>
  <c r="V134" i="3"/>
  <c r="H135" i="3"/>
  <c r="J135" i="3"/>
  <c r="L135" i="3"/>
  <c r="N135" i="3"/>
  <c r="O135" i="3" s="1"/>
  <c r="Q135" i="3"/>
  <c r="R135" i="3" s="1"/>
  <c r="T135" i="3"/>
  <c r="V135" i="3"/>
  <c r="H136" i="3"/>
  <c r="J136" i="3"/>
  <c r="L136" i="3"/>
  <c r="N136" i="3"/>
  <c r="O136" i="3"/>
  <c r="Q136" i="3"/>
  <c r="R136" i="3" s="1"/>
  <c r="T136" i="3"/>
  <c r="V136" i="3"/>
  <c r="H137" i="3"/>
  <c r="J137" i="3"/>
  <c r="L137" i="3"/>
  <c r="N137" i="3"/>
  <c r="O137" i="3" s="1"/>
  <c r="Q137" i="3"/>
  <c r="R137" i="3" s="1"/>
  <c r="T137" i="3"/>
  <c r="V137" i="3"/>
  <c r="H138" i="3"/>
  <c r="J138" i="3"/>
  <c r="L138" i="3"/>
  <c r="N138" i="3"/>
  <c r="O138" i="3" s="1"/>
  <c r="Q138" i="3"/>
  <c r="R138" i="3"/>
  <c r="T138" i="3"/>
  <c r="V138" i="3"/>
  <c r="H139" i="3"/>
  <c r="J139" i="3"/>
  <c r="L139" i="3"/>
  <c r="N139" i="3"/>
  <c r="O139" i="3" s="1"/>
  <c r="Q139" i="3"/>
  <c r="R139" i="3" s="1"/>
  <c r="T139" i="3"/>
  <c r="V139" i="3"/>
  <c r="H140" i="3"/>
  <c r="J140" i="3"/>
  <c r="L140" i="3"/>
  <c r="N140" i="3"/>
  <c r="O140" i="3" s="1"/>
  <c r="Q140" i="3"/>
  <c r="R140" i="3" s="1"/>
  <c r="T140" i="3"/>
  <c r="V140" i="3"/>
  <c r="H141" i="3"/>
  <c r="J141" i="3"/>
  <c r="L141" i="3"/>
  <c r="N141" i="3"/>
  <c r="O141" i="3" s="1"/>
  <c r="Q141" i="3"/>
  <c r="R141" i="3" s="1"/>
  <c r="T141" i="3"/>
  <c r="V141" i="3"/>
  <c r="H142" i="3"/>
  <c r="J142" i="3"/>
  <c r="L142" i="3"/>
  <c r="N142" i="3"/>
  <c r="O142" i="3" s="1"/>
  <c r="Q142" i="3"/>
  <c r="R142" i="3" s="1"/>
  <c r="T142" i="3"/>
  <c r="V142" i="3"/>
  <c r="H143" i="3"/>
  <c r="J143" i="3"/>
  <c r="L143" i="3"/>
  <c r="N143" i="3"/>
  <c r="O143" i="3" s="1"/>
  <c r="Q143" i="3"/>
  <c r="R143" i="3" s="1"/>
  <c r="T143" i="3"/>
  <c r="V143" i="3"/>
  <c r="H144" i="3"/>
  <c r="J144" i="3"/>
  <c r="L144" i="3"/>
  <c r="N144" i="3"/>
  <c r="O144" i="3"/>
  <c r="Q144" i="3"/>
  <c r="R144" i="3" s="1"/>
  <c r="T144" i="3"/>
  <c r="V144" i="3"/>
  <c r="H145" i="3"/>
  <c r="J145" i="3"/>
  <c r="L145" i="3"/>
  <c r="N145" i="3"/>
  <c r="O145" i="3" s="1"/>
  <c r="Q145" i="3"/>
  <c r="R145" i="3" s="1"/>
  <c r="T145" i="3"/>
  <c r="V145" i="3"/>
  <c r="H146" i="3"/>
  <c r="J146" i="3"/>
  <c r="L146" i="3"/>
  <c r="N146" i="3"/>
  <c r="O146" i="3" s="1"/>
  <c r="Q146" i="3"/>
  <c r="R146" i="3" s="1"/>
  <c r="T146" i="3"/>
  <c r="V146" i="3"/>
  <c r="H147" i="3"/>
  <c r="J147" i="3"/>
  <c r="L147" i="3"/>
  <c r="N147" i="3"/>
  <c r="O147" i="3" s="1"/>
  <c r="Q147" i="3"/>
  <c r="R147" i="3" s="1"/>
  <c r="T147" i="3"/>
  <c r="V147" i="3"/>
  <c r="H148" i="3"/>
  <c r="J148" i="3"/>
  <c r="L148" i="3"/>
  <c r="N148" i="3"/>
  <c r="O148" i="3" s="1"/>
  <c r="Q148" i="3"/>
  <c r="R148" i="3" s="1"/>
  <c r="T148" i="3"/>
  <c r="V148" i="3"/>
  <c r="H149" i="3"/>
  <c r="J149" i="3"/>
  <c r="L149" i="3"/>
  <c r="N149" i="3"/>
  <c r="Q149" i="3"/>
  <c r="R149" i="3" s="1"/>
  <c r="T149" i="3"/>
  <c r="V149" i="3"/>
  <c r="H150" i="3"/>
  <c r="J150" i="3"/>
  <c r="L150" i="3"/>
  <c r="N150" i="3"/>
  <c r="O150" i="3" s="1"/>
  <c r="Q150" i="3"/>
  <c r="R150" i="3" s="1"/>
  <c r="T150" i="3"/>
  <c r="V150" i="3"/>
  <c r="H151" i="3"/>
  <c r="J151" i="3"/>
  <c r="L151" i="3"/>
  <c r="N151" i="3"/>
  <c r="O151" i="3" s="1"/>
  <c r="Q151" i="3"/>
  <c r="R151" i="3" s="1"/>
  <c r="T151" i="3"/>
  <c r="V151" i="3"/>
  <c r="H152" i="3"/>
  <c r="J152" i="3"/>
  <c r="L152" i="3"/>
  <c r="N152" i="3"/>
  <c r="O152" i="3"/>
  <c r="Q152" i="3"/>
  <c r="R152" i="3" s="1"/>
  <c r="T152" i="3"/>
  <c r="V152" i="3"/>
  <c r="H153" i="3"/>
  <c r="J153" i="3"/>
  <c r="L153" i="3"/>
  <c r="N153" i="3"/>
  <c r="O153" i="3" s="1"/>
  <c r="Q153" i="3"/>
  <c r="R153" i="3" s="1"/>
  <c r="T153" i="3"/>
  <c r="V153" i="3"/>
  <c r="H154" i="3"/>
  <c r="J154" i="3"/>
  <c r="L154" i="3"/>
  <c r="N154" i="3"/>
  <c r="O154" i="3" s="1"/>
  <c r="Q154" i="3"/>
  <c r="R154" i="3"/>
  <c r="T154" i="3"/>
  <c r="V154" i="3"/>
  <c r="H155" i="3"/>
  <c r="J155" i="3"/>
  <c r="L155" i="3"/>
  <c r="N155" i="3"/>
  <c r="O155" i="3" s="1"/>
  <c r="Q155" i="3"/>
  <c r="R155" i="3" s="1"/>
  <c r="T155" i="3"/>
  <c r="V155" i="3"/>
  <c r="H156" i="3"/>
  <c r="J156" i="3"/>
  <c r="L156" i="3"/>
  <c r="N156" i="3"/>
  <c r="O156" i="3" s="1"/>
  <c r="Q156" i="3"/>
  <c r="R156" i="3" s="1"/>
  <c r="T156" i="3"/>
  <c r="V156" i="3"/>
  <c r="H157" i="3"/>
  <c r="J157" i="3"/>
  <c r="L157" i="3"/>
  <c r="N157" i="3"/>
  <c r="Q157" i="3"/>
  <c r="R157" i="3" s="1"/>
  <c r="T157" i="3"/>
  <c r="V157" i="3"/>
  <c r="H158" i="3"/>
  <c r="J158" i="3"/>
  <c r="L158" i="3"/>
  <c r="N158" i="3"/>
  <c r="O158" i="3" s="1"/>
  <c r="Q158" i="3"/>
  <c r="R158" i="3" s="1"/>
  <c r="T158" i="3"/>
  <c r="V158" i="3"/>
  <c r="H159" i="3"/>
  <c r="J159" i="3"/>
  <c r="L159" i="3"/>
  <c r="N159" i="3"/>
  <c r="O159" i="3" s="1"/>
  <c r="Q159" i="3"/>
  <c r="R159" i="3" s="1"/>
  <c r="T159" i="3"/>
  <c r="V159" i="3"/>
  <c r="H160" i="3"/>
  <c r="J160" i="3"/>
  <c r="L160" i="3"/>
  <c r="N160" i="3"/>
  <c r="O160" i="3" s="1"/>
  <c r="Q160" i="3"/>
  <c r="R160" i="3" s="1"/>
  <c r="T160" i="3"/>
  <c r="V160" i="3"/>
  <c r="H161" i="3"/>
  <c r="J161" i="3"/>
  <c r="L161" i="3"/>
  <c r="N161" i="3"/>
  <c r="O161" i="3" s="1"/>
  <c r="Q161" i="3"/>
  <c r="R161" i="3" s="1"/>
  <c r="T161" i="3"/>
  <c r="V161" i="3"/>
  <c r="H162" i="3"/>
  <c r="J162" i="3"/>
  <c r="L162" i="3"/>
  <c r="N162" i="3"/>
  <c r="O162" i="3" s="1"/>
  <c r="Q162" i="3"/>
  <c r="R162" i="3" s="1"/>
  <c r="T162" i="3"/>
  <c r="V162" i="3"/>
  <c r="H163" i="3"/>
  <c r="J163" i="3"/>
  <c r="L163" i="3"/>
  <c r="N163" i="3"/>
  <c r="O163" i="3" s="1"/>
  <c r="Q163" i="3"/>
  <c r="R163" i="3" s="1"/>
  <c r="T163" i="3"/>
  <c r="V163" i="3"/>
  <c r="H164" i="3"/>
  <c r="J164" i="3"/>
  <c r="L164" i="3"/>
  <c r="N164" i="3"/>
  <c r="O164" i="3" s="1"/>
  <c r="Q164" i="3"/>
  <c r="R164" i="3" s="1"/>
  <c r="T164" i="3"/>
  <c r="V164" i="3"/>
  <c r="H165" i="3"/>
  <c r="J165" i="3"/>
  <c r="L165" i="3"/>
  <c r="N165" i="3"/>
  <c r="O165" i="3" s="1"/>
  <c r="Q165" i="3"/>
  <c r="R165" i="3" s="1"/>
  <c r="T165" i="3"/>
  <c r="V165" i="3"/>
  <c r="H166" i="3"/>
  <c r="J166" i="3"/>
  <c r="L166" i="3"/>
  <c r="N166" i="3"/>
  <c r="O166" i="3" s="1"/>
  <c r="Q166" i="3"/>
  <c r="R166" i="3" s="1"/>
  <c r="T166" i="3"/>
  <c r="V166" i="3"/>
  <c r="H167" i="3"/>
  <c r="J167" i="3"/>
  <c r="L167" i="3"/>
  <c r="N167" i="3"/>
  <c r="O167" i="3" s="1"/>
  <c r="Q167" i="3"/>
  <c r="R167" i="3" s="1"/>
  <c r="T167" i="3"/>
  <c r="V167" i="3"/>
  <c r="H168" i="3"/>
  <c r="J168" i="3"/>
  <c r="L168" i="3"/>
  <c r="N168" i="3"/>
  <c r="O168" i="3"/>
  <c r="Q168" i="3"/>
  <c r="R168" i="3" s="1"/>
  <c r="T168" i="3"/>
  <c r="V168" i="3"/>
  <c r="H169" i="3"/>
  <c r="H170" i="3"/>
  <c r="N3" i="3"/>
  <c r="N2" i="3"/>
  <c r="N1" i="3"/>
  <c r="B2" i="3"/>
  <c r="D3" i="3"/>
  <c r="E3" i="3"/>
  <c r="F3" i="3"/>
  <c r="G3" i="3"/>
  <c r="H3" i="3"/>
  <c r="I3" i="3"/>
  <c r="J3" i="3"/>
  <c r="K3" i="3"/>
  <c r="L3" i="3"/>
  <c r="M3" i="3"/>
  <c r="O3" i="3"/>
  <c r="P3" i="3"/>
  <c r="Q3" i="3"/>
  <c r="B3" i="3"/>
  <c r="F91" i="2"/>
  <c r="F121" i="2"/>
  <c r="F122" i="2"/>
  <c r="F123" i="2"/>
  <c r="F124" i="2"/>
  <c r="F125" i="2"/>
  <c r="F126" i="2"/>
  <c r="F127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93" i="2"/>
  <c r="F92" i="2"/>
  <c r="C2" i="3"/>
  <c r="C85" i="3" s="1"/>
  <c r="D2" i="3"/>
  <c r="E2" i="3"/>
  <c r="F2" i="3"/>
  <c r="G2" i="3"/>
  <c r="G42" i="3" s="1"/>
  <c r="H2" i="3"/>
  <c r="I2" i="3"/>
  <c r="I42" i="3" s="1"/>
  <c r="J2" i="3"/>
  <c r="J43" i="3" s="1"/>
  <c r="K2" i="3"/>
  <c r="K42" i="3" s="1"/>
  <c r="L2" i="3"/>
  <c r="L43" i="3" s="1"/>
  <c r="M2" i="3"/>
  <c r="M42" i="3" s="1"/>
  <c r="O2" i="3"/>
  <c r="O42" i="3" s="1"/>
  <c r="P2" i="3"/>
  <c r="P41" i="3" s="1"/>
  <c r="Q2" i="3"/>
  <c r="Q42" i="3" s="1"/>
  <c r="C1" i="3"/>
  <c r="D1" i="3"/>
  <c r="E1" i="3"/>
  <c r="F1" i="3"/>
  <c r="G1" i="3"/>
  <c r="H1" i="3"/>
  <c r="I1" i="3"/>
  <c r="J1" i="3"/>
  <c r="K1" i="3"/>
  <c r="L1" i="3"/>
  <c r="M1" i="3"/>
  <c r="O1" i="3"/>
  <c r="P1" i="3"/>
  <c r="Q1" i="3"/>
  <c r="B1" i="3"/>
  <c r="J277" i="4"/>
  <c r="E277" i="4"/>
  <c r="D277" i="4"/>
  <c r="D231" i="4"/>
  <c r="E225" i="4"/>
  <c r="E224" i="4"/>
  <c r="E223" i="4"/>
  <c r="E222" i="4"/>
  <c r="E221" i="4"/>
  <c r="E220" i="4"/>
  <c r="E219" i="4"/>
  <c r="E218" i="4"/>
  <c r="E217" i="4"/>
  <c r="E216" i="4"/>
  <c r="E215" i="4"/>
  <c r="E214" i="4"/>
  <c r="E213" i="4"/>
  <c r="E212" i="4"/>
  <c r="E211" i="4"/>
  <c r="E210" i="4"/>
  <c r="E209" i="4"/>
  <c r="E208" i="4"/>
  <c r="E207" i="4"/>
  <c r="E206" i="4"/>
  <c r="E205" i="4"/>
  <c r="E204" i="4"/>
  <c r="E203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D139" i="4"/>
  <c r="D138" i="4"/>
  <c r="D137" i="4"/>
  <c r="E131" i="4"/>
  <c r="D128" i="4"/>
  <c r="E124" i="4"/>
  <c r="D122" i="4"/>
  <c r="D126" i="4" s="1"/>
  <c r="D121" i="4"/>
  <c r="D120" i="4"/>
  <c r="D124" i="4" s="1"/>
  <c r="F124" i="4" s="1"/>
  <c r="G124" i="4" s="1"/>
  <c r="E110" i="4"/>
  <c r="D110" i="4"/>
  <c r="E46" i="4" s="1"/>
  <c r="E78" i="4" s="1"/>
  <c r="G105" i="4"/>
  <c r="D105" i="4"/>
  <c r="D104" i="4" s="1"/>
  <c r="D99" i="4"/>
  <c r="D102" i="4" s="1"/>
  <c r="E96" i="4"/>
  <c r="E94" i="4"/>
  <c r="E91" i="4"/>
  <c r="C82" i="4"/>
  <c r="D81" i="4"/>
  <c r="C81" i="4"/>
  <c r="D80" i="4"/>
  <c r="C80" i="4"/>
  <c r="D79" i="4"/>
  <c r="D78" i="4"/>
  <c r="C78" i="4"/>
  <c r="E77" i="4"/>
  <c r="C77" i="4"/>
  <c r="D76" i="4"/>
  <c r="C76" i="4"/>
  <c r="D75" i="4"/>
  <c r="C75" i="4"/>
  <c r="D74" i="4"/>
  <c r="C74" i="4"/>
  <c r="D73" i="4"/>
  <c r="C73" i="4"/>
  <c r="D72" i="4"/>
  <c r="D71" i="4"/>
  <c r="C71" i="4"/>
  <c r="D70" i="4"/>
  <c r="C70" i="4"/>
  <c r="F69" i="4"/>
  <c r="E69" i="4"/>
  <c r="D69" i="4"/>
  <c r="C69" i="4"/>
  <c r="D68" i="4"/>
  <c r="C68" i="4"/>
  <c r="D67" i="4"/>
  <c r="C67" i="4"/>
  <c r="E66" i="4"/>
  <c r="C66" i="4"/>
  <c r="E65" i="4"/>
  <c r="D65" i="4"/>
  <c r="C65" i="4"/>
  <c r="D64" i="4"/>
  <c r="C64" i="4"/>
  <c r="C63" i="4"/>
  <c r="D62" i="4"/>
  <c r="C62" i="4"/>
  <c r="D61" i="4"/>
  <c r="C61" i="4"/>
  <c r="C60" i="4"/>
  <c r="F59" i="4"/>
  <c r="E59" i="4"/>
  <c r="D59" i="4"/>
  <c r="C59" i="4"/>
  <c r="B59" i="4"/>
  <c r="B58" i="4"/>
  <c r="B57" i="4"/>
  <c r="F49" i="4"/>
  <c r="F81" i="4" s="1"/>
  <c r="E49" i="4"/>
  <c r="E81" i="4" s="1"/>
  <c r="F48" i="4"/>
  <c r="F80" i="4" s="1"/>
  <c r="E48" i="4"/>
  <c r="E80" i="4" s="1"/>
  <c r="F40" i="4"/>
  <c r="E40" i="4"/>
  <c r="F28" i="4"/>
  <c r="E28" i="4"/>
  <c r="F24" i="4"/>
  <c r="F63" i="4" s="1"/>
  <c r="E24" i="4"/>
  <c r="E63" i="4" s="1"/>
  <c r="F23" i="4"/>
  <c r="F62" i="4" s="1"/>
  <c r="E23" i="4"/>
  <c r="E62" i="4" s="1"/>
  <c r="E22" i="4"/>
  <c r="E61" i="4" s="1"/>
  <c r="J21" i="4"/>
  <c r="F161" i="4" s="1"/>
  <c r="F162" i="4" s="1"/>
  <c r="F163" i="4" s="1"/>
  <c r="E21" i="4"/>
  <c r="E60" i="4" s="1"/>
  <c r="E17" i="4"/>
  <c r="J14" i="4"/>
  <c r="J15" i="4" s="1"/>
  <c r="J16" i="4" s="1"/>
  <c r="F13" i="4"/>
  <c r="F30" i="4" s="1"/>
  <c r="F32" i="4" s="1"/>
  <c r="E13" i="4"/>
  <c r="E137" i="4" s="1"/>
  <c r="J10" i="4"/>
  <c r="F7" i="4"/>
  <c r="K108" i="2" l="1"/>
  <c r="G9" i="2" s="1"/>
  <c r="F5" i="3"/>
  <c r="D4" i="3"/>
  <c r="N5" i="3"/>
  <c r="R46" i="2" s="1"/>
  <c r="K106" i="2"/>
  <c r="Q5" i="3"/>
  <c r="E132" i="4"/>
  <c r="E133" i="4" s="1"/>
  <c r="E134" i="4" s="1"/>
  <c r="E25" i="4" s="1"/>
  <c r="E64" i="4" s="1"/>
  <c r="L5" i="3"/>
  <c r="K4" i="3"/>
  <c r="J5" i="3"/>
  <c r="N46" i="2" s="1"/>
  <c r="L108" i="2"/>
  <c r="H9" i="2" s="1"/>
  <c r="P5" i="3"/>
  <c r="O4" i="3"/>
  <c r="L107" i="2"/>
  <c r="H8" i="2" s="1"/>
  <c r="M4" i="3"/>
  <c r="Q45" i="2" s="1"/>
  <c r="G5" i="3"/>
  <c r="K46" i="2" s="1"/>
  <c r="L106" i="2"/>
  <c r="H7" i="2" s="1"/>
  <c r="K107" i="2"/>
  <c r="G8" i="2" s="1"/>
  <c r="G7" i="2"/>
  <c r="E70" i="4"/>
  <c r="F279" i="4"/>
  <c r="E51" i="4" s="1"/>
  <c r="E82" i="4" s="1"/>
  <c r="D115" i="4"/>
  <c r="E38" i="4" s="1"/>
  <c r="E39" i="4" s="1"/>
  <c r="E72" i="4" s="1"/>
  <c r="F137" i="4"/>
  <c r="G137" i="4" s="1"/>
  <c r="E121" i="4"/>
  <c r="F121" i="4" s="1"/>
  <c r="G121" i="4" s="1"/>
  <c r="E139" i="4"/>
  <c r="F139" i="4" s="1"/>
  <c r="G139" i="4" s="1"/>
  <c r="E15" i="4"/>
  <c r="E120" i="4" s="1"/>
  <c r="F120" i="4" s="1"/>
  <c r="G120" i="4" s="1"/>
  <c r="D100" i="4"/>
  <c r="D101" i="4" s="1"/>
  <c r="D103" i="4" s="1"/>
  <c r="E33" i="4" s="1"/>
  <c r="O5" i="3"/>
  <c r="S46" i="2" s="1"/>
  <c r="G4" i="3"/>
  <c r="D5" i="3"/>
  <c r="H46" i="2" s="1"/>
  <c r="Q4" i="3"/>
  <c r="U45" i="2" s="1"/>
  <c r="J4" i="3"/>
  <c r="N45" i="2" s="1"/>
  <c r="K5" i="3"/>
  <c r="O46" i="2" s="1"/>
  <c r="N4" i="3"/>
  <c r="R45" i="2" s="1"/>
  <c r="F4" i="3"/>
  <c r="L4" i="3"/>
  <c r="P45" i="2" s="1"/>
  <c r="P4" i="3"/>
  <c r="T45" i="2" s="1"/>
  <c r="M5" i="3"/>
  <c r="Q46" i="2" s="1"/>
  <c r="T46" i="2"/>
  <c r="J46" i="2"/>
  <c r="U46" i="2"/>
  <c r="P46" i="2"/>
  <c r="S45" i="2"/>
  <c r="O45" i="2"/>
  <c r="O157" i="3"/>
  <c r="O149" i="3"/>
  <c r="E34" i="3" s="1"/>
  <c r="O109" i="3"/>
  <c r="O105" i="3"/>
  <c r="H43" i="3"/>
  <c r="E42" i="3"/>
  <c r="D83" i="3"/>
  <c r="F43" i="3"/>
  <c r="B84" i="3"/>
  <c r="N44" i="3"/>
  <c r="N42" i="3"/>
  <c r="N40" i="3"/>
  <c r="N38" i="3"/>
  <c r="N36" i="3"/>
  <c r="N34" i="3"/>
  <c r="N32" i="3"/>
  <c r="N30" i="3"/>
  <c r="N28" i="3"/>
  <c r="N26" i="3"/>
  <c r="N24" i="3"/>
  <c r="N22" i="3"/>
  <c r="N20" i="3"/>
  <c r="N18" i="3"/>
  <c r="N16" i="3"/>
  <c r="N14" i="3"/>
  <c r="N12" i="3"/>
  <c r="N10" i="3"/>
  <c r="N8" i="3"/>
  <c r="N84" i="3"/>
  <c r="N82" i="3"/>
  <c r="N80" i="3"/>
  <c r="N78" i="3"/>
  <c r="N76" i="3"/>
  <c r="N74" i="3"/>
  <c r="N72" i="3"/>
  <c r="N70" i="3"/>
  <c r="N68" i="3"/>
  <c r="N66" i="3"/>
  <c r="N64" i="3"/>
  <c r="N62" i="3"/>
  <c r="N60" i="3"/>
  <c r="N58" i="3"/>
  <c r="N56" i="3"/>
  <c r="N54" i="3"/>
  <c r="N52" i="3"/>
  <c r="N50" i="3"/>
  <c r="B9" i="3"/>
  <c r="B11" i="3"/>
  <c r="B13" i="3"/>
  <c r="B15" i="3"/>
  <c r="B17" i="3"/>
  <c r="B19" i="3"/>
  <c r="B21" i="3"/>
  <c r="B23" i="3"/>
  <c r="B25" i="3"/>
  <c r="B27" i="3"/>
  <c r="B29" i="3"/>
  <c r="B31" i="3"/>
  <c r="B33" i="3"/>
  <c r="B35" i="3"/>
  <c r="B37" i="3"/>
  <c r="B39" i="3"/>
  <c r="B41" i="3"/>
  <c r="B43" i="3"/>
  <c r="C8" i="3"/>
  <c r="C10" i="3"/>
  <c r="C12" i="3"/>
  <c r="C14" i="3"/>
  <c r="C16" i="3"/>
  <c r="C18" i="3"/>
  <c r="C20" i="3"/>
  <c r="C22" i="3"/>
  <c r="C24" i="3"/>
  <c r="C26" i="3"/>
  <c r="C28" i="3"/>
  <c r="C30" i="3"/>
  <c r="C32" i="3"/>
  <c r="C34" i="3"/>
  <c r="C36" i="3"/>
  <c r="C38" i="3"/>
  <c r="C40" i="3"/>
  <c r="C42" i="3"/>
  <c r="C44" i="3"/>
  <c r="D9" i="3"/>
  <c r="H45" i="2" s="1"/>
  <c r="D11" i="3"/>
  <c r="D13" i="3"/>
  <c r="D15" i="3"/>
  <c r="D17" i="3"/>
  <c r="D19" i="3"/>
  <c r="D63" i="3"/>
  <c r="D67" i="3"/>
  <c r="D71" i="3"/>
  <c r="D75" i="3"/>
  <c r="D79" i="3"/>
  <c r="E10" i="3"/>
  <c r="E14" i="3"/>
  <c r="E18" i="3"/>
  <c r="E22" i="3"/>
  <c r="E26" i="3"/>
  <c r="E30" i="3"/>
  <c r="E38" i="3"/>
  <c r="F9" i="3"/>
  <c r="F13" i="3"/>
  <c r="F17" i="3"/>
  <c r="F21" i="3"/>
  <c r="F25" i="3"/>
  <c r="F29" i="3"/>
  <c r="F33" i="3"/>
  <c r="F37" i="3"/>
  <c r="F41" i="3"/>
  <c r="G8" i="3"/>
  <c r="G12" i="3"/>
  <c r="G16" i="3"/>
  <c r="G20" i="3"/>
  <c r="G24" i="3"/>
  <c r="G28" i="3"/>
  <c r="G32" i="3"/>
  <c r="G36" i="3"/>
  <c r="G40" i="3"/>
  <c r="G44" i="3"/>
  <c r="H11" i="3"/>
  <c r="H15" i="3"/>
  <c r="H19" i="3"/>
  <c r="H23" i="3"/>
  <c r="H27" i="3"/>
  <c r="H31" i="3"/>
  <c r="H35" i="3"/>
  <c r="H39" i="3"/>
  <c r="I10" i="3"/>
  <c r="I14" i="3"/>
  <c r="I18" i="3"/>
  <c r="I22" i="3"/>
  <c r="I26" i="3"/>
  <c r="I30" i="3"/>
  <c r="I34" i="3"/>
  <c r="I4" i="3" s="1"/>
  <c r="I38" i="3"/>
  <c r="J9" i="3"/>
  <c r="J13" i="3"/>
  <c r="J17" i="3"/>
  <c r="J21" i="3"/>
  <c r="J25" i="3"/>
  <c r="J29" i="3"/>
  <c r="J33" i="3"/>
  <c r="J37" i="3"/>
  <c r="J41" i="3"/>
  <c r="K8" i="3"/>
  <c r="K12" i="3"/>
  <c r="K16" i="3"/>
  <c r="K20" i="3"/>
  <c r="K24" i="3"/>
  <c r="K28" i="3"/>
  <c r="K32" i="3"/>
  <c r="K36" i="3"/>
  <c r="K40" i="3"/>
  <c r="K44" i="3"/>
  <c r="L11" i="3"/>
  <c r="L15" i="3"/>
  <c r="L19" i="3"/>
  <c r="L23" i="3"/>
  <c r="L27" i="3"/>
  <c r="L31" i="3"/>
  <c r="L35" i="3"/>
  <c r="L39" i="3"/>
  <c r="M10" i="3"/>
  <c r="M14" i="3"/>
  <c r="M18" i="3"/>
  <c r="M22" i="3"/>
  <c r="M26" i="3"/>
  <c r="M30" i="3"/>
  <c r="M34" i="3"/>
  <c r="M38" i="3"/>
  <c r="N9" i="3"/>
  <c r="N13" i="3"/>
  <c r="N17" i="3"/>
  <c r="N21" i="3"/>
  <c r="N25" i="3"/>
  <c r="N29" i="3"/>
  <c r="N33" i="3"/>
  <c r="N37" i="3"/>
  <c r="N41" i="3"/>
  <c r="O8" i="3"/>
  <c r="O12" i="3"/>
  <c r="O16" i="3"/>
  <c r="O20" i="3"/>
  <c r="O24" i="3"/>
  <c r="O28" i="3"/>
  <c r="O32" i="3"/>
  <c r="O36" i="3"/>
  <c r="O40" i="3"/>
  <c r="O44" i="3"/>
  <c r="P11" i="3"/>
  <c r="P15" i="3"/>
  <c r="P19" i="3"/>
  <c r="P23" i="3"/>
  <c r="P27" i="3"/>
  <c r="P31" i="3"/>
  <c r="P35" i="3"/>
  <c r="P39" i="3"/>
  <c r="P43" i="3"/>
  <c r="Q10" i="3"/>
  <c r="Q14" i="3"/>
  <c r="Q18" i="3"/>
  <c r="Q22" i="3"/>
  <c r="Q26" i="3"/>
  <c r="Q30" i="3"/>
  <c r="Q34" i="3"/>
  <c r="Q38" i="3"/>
  <c r="Q43" i="3"/>
  <c r="Q41" i="3"/>
  <c r="Q39" i="3"/>
  <c r="Q37" i="3"/>
  <c r="Q35" i="3"/>
  <c r="Q33" i="3"/>
  <c r="Q31" i="3"/>
  <c r="Q29" i="3"/>
  <c r="Q27" i="3"/>
  <c r="Q25" i="3"/>
  <c r="Q23" i="3"/>
  <c r="Q21" i="3"/>
  <c r="Q19" i="3"/>
  <c r="Q17" i="3"/>
  <c r="Q15" i="3"/>
  <c r="Q13" i="3"/>
  <c r="Q11" i="3"/>
  <c r="Q9" i="3"/>
  <c r="Q85" i="3"/>
  <c r="Q83" i="3"/>
  <c r="Q81" i="3"/>
  <c r="Q79" i="3"/>
  <c r="Q77" i="3"/>
  <c r="Q75" i="3"/>
  <c r="Q73" i="3"/>
  <c r="Q71" i="3"/>
  <c r="Q69" i="3"/>
  <c r="Q67" i="3"/>
  <c r="Q65" i="3"/>
  <c r="Q63" i="3"/>
  <c r="Q61" i="3"/>
  <c r="Q59" i="3"/>
  <c r="Q57" i="3"/>
  <c r="Q55" i="3"/>
  <c r="Q53" i="3"/>
  <c r="Q51" i="3"/>
  <c r="Q49" i="3"/>
  <c r="L44" i="3"/>
  <c r="L42" i="3"/>
  <c r="L40" i="3"/>
  <c r="L38" i="3"/>
  <c r="L36" i="3"/>
  <c r="L34" i="3"/>
  <c r="L32" i="3"/>
  <c r="L30" i="3"/>
  <c r="L28" i="3"/>
  <c r="L26" i="3"/>
  <c r="L24" i="3"/>
  <c r="L22" i="3"/>
  <c r="L20" i="3"/>
  <c r="L18" i="3"/>
  <c r="L16" i="3"/>
  <c r="L14" i="3"/>
  <c r="L12" i="3"/>
  <c r="L10" i="3"/>
  <c r="L8" i="3"/>
  <c r="L84" i="3"/>
  <c r="L82" i="3"/>
  <c r="L80" i="3"/>
  <c r="L78" i="3"/>
  <c r="L76" i="3"/>
  <c r="L74" i="3"/>
  <c r="L72" i="3"/>
  <c r="L70" i="3"/>
  <c r="L68" i="3"/>
  <c r="L66" i="3"/>
  <c r="L64" i="3"/>
  <c r="L62" i="3"/>
  <c r="L60" i="3"/>
  <c r="L58" i="3"/>
  <c r="L56" i="3"/>
  <c r="L54" i="3"/>
  <c r="L52" i="3"/>
  <c r="L50" i="3"/>
  <c r="H44" i="3"/>
  <c r="H42" i="3"/>
  <c r="H40" i="3"/>
  <c r="H38" i="3"/>
  <c r="H36" i="3"/>
  <c r="H34" i="3"/>
  <c r="H32" i="3"/>
  <c r="H30" i="3"/>
  <c r="H28" i="3"/>
  <c r="H26" i="3"/>
  <c r="H24" i="3"/>
  <c r="H22" i="3"/>
  <c r="H20" i="3"/>
  <c r="H18" i="3"/>
  <c r="H16" i="3"/>
  <c r="H14" i="3"/>
  <c r="H12" i="3"/>
  <c r="H10" i="3"/>
  <c r="H8" i="3"/>
  <c r="H84" i="3"/>
  <c r="H82" i="3"/>
  <c r="H80" i="3"/>
  <c r="H78" i="3"/>
  <c r="H5" i="3" s="1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D85" i="3"/>
  <c r="D84" i="3"/>
  <c r="D82" i="3"/>
  <c r="D80" i="3"/>
  <c r="D78" i="3"/>
  <c r="D76" i="3"/>
  <c r="D74" i="3"/>
  <c r="D72" i="3"/>
  <c r="D70" i="3"/>
  <c r="D68" i="3"/>
  <c r="D66" i="3"/>
  <c r="D64" i="3"/>
  <c r="D62" i="3"/>
  <c r="D60" i="3"/>
  <c r="D43" i="3"/>
  <c r="D41" i="3"/>
  <c r="D39" i="3"/>
  <c r="D37" i="3"/>
  <c r="D35" i="3"/>
  <c r="D33" i="3"/>
  <c r="D31" i="3"/>
  <c r="D29" i="3"/>
  <c r="D27" i="3"/>
  <c r="D25" i="3"/>
  <c r="D23" i="3"/>
  <c r="D21" i="3"/>
  <c r="M43" i="3"/>
  <c r="M41" i="3"/>
  <c r="M39" i="3"/>
  <c r="M37" i="3"/>
  <c r="M35" i="3"/>
  <c r="M33" i="3"/>
  <c r="M31" i="3"/>
  <c r="M29" i="3"/>
  <c r="M27" i="3"/>
  <c r="M25" i="3"/>
  <c r="M23" i="3"/>
  <c r="M21" i="3"/>
  <c r="M19" i="3"/>
  <c r="M17" i="3"/>
  <c r="M15" i="3"/>
  <c r="M13" i="3"/>
  <c r="M11" i="3"/>
  <c r="M9" i="3"/>
  <c r="M85" i="3"/>
  <c r="M83" i="3"/>
  <c r="M81" i="3"/>
  <c r="M79" i="3"/>
  <c r="M77" i="3"/>
  <c r="M75" i="3"/>
  <c r="M73" i="3"/>
  <c r="M71" i="3"/>
  <c r="M69" i="3"/>
  <c r="M67" i="3"/>
  <c r="M65" i="3"/>
  <c r="M63" i="3"/>
  <c r="M61" i="3"/>
  <c r="M59" i="3"/>
  <c r="M57" i="3"/>
  <c r="M55" i="3"/>
  <c r="M53" i="3"/>
  <c r="M51" i="3"/>
  <c r="M49" i="3"/>
  <c r="I43" i="3"/>
  <c r="I41" i="3"/>
  <c r="I39" i="3"/>
  <c r="I37" i="3"/>
  <c r="I35" i="3"/>
  <c r="I33" i="3"/>
  <c r="I31" i="3"/>
  <c r="I29" i="3"/>
  <c r="I27" i="3"/>
  <c r="I25" i="3"/>
  <c r="I23" i="3"/>
  <c r="I21" i="3"/>
  <c r="I19" i="3"/>
  <c r="I17" i="3"/>
  <c r="I15" i="3"/>
  <c r="I13" i="3"/>
  <c r="I11" i="3"/>
  <c r="I9" i="3"/>
  <c r="I85" i="3"/>
  <c r="I83" i="3"/>
  <c r="I81" i="3"/>
  <c r="I79" i="3"/>
  <c r="I77" i="3"/>
  <c r="I75" i="3"/>
  <c r="I5" i="3" s="1"/>
  <c r="I73" i="3"/>
  <c r="I71" i="3"/>
  <c r="I69" i="3"/>
  <c r="I67" i="3"/>
  <c r="I65" i="3"/>
  <c r="I63" i="3"/>
  <c r="I61" i="3"/>
  <c r="I59" i="3"/>
  <c r="I57" i="3"/>
  <c r="I55" i="3"/>
  <c r="I53" i="3"/>
  <c r="I51" i="3"/>
  <c r="I49" i="3"/>
  <c r="E43" i="3"/>
  <c r="E41" i="3"/>
  <c r="E39" i="3"/>
  <c r="E37" i="3"/>
  <c r="E35" i="3"/>
  <c r="E33" i="3"/>
  <c r="E31" i="3"/>
  <c r="E29" i="3"/>
  <c r="E27" i="3"/>
  <c r="E25" i="3"/>
  <c r="E23" i="3"/>
  <c r="E21" i="3"/>
  <c r="E19" i="3"/>
  <c r="E17" i="3"/>
  <c r="E15" i="3"/>
  <c r="E13" i="3"/>
  <c r="E4" i="3" s="1"/>
  <c r="E11" i="3"/>
  <c r="E9" i="3"/>
  <c r="E85" i="3"/>
  <c r="E83" i="3"/>
  <c r="E81" i="3"/>
  <c r="E79" i="3"/>
  <c r="E77" i="3"/>
  <c r="E75" i="3"/>
  <c r="E73" i="3"/>
  <c r="E71" i="3"/>
  <c r="E69" i="3"/>
  <c r="E67" i="3"/>
  <c r="E65" i="3"/>
  <c r="E63" i="3"/>
  <c r="E61" i="3"/>
  <c r="E59" i="3"/>
  <c r="E57" i="3"/>
  <c r="E55" i="3"/>
  <c r="E53" i="3"/>
  <c r="E51" i="3"/>
  <c r="E49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B75" i="3"/>
  <c r="B77" i="3"/>
  <c r="B79" i="3"/>
  <c r="B81" i="3"/>
  <c r="B83" i="3"/>
  <c r="B85" i="3"/>
  <c r="C50" i="3"/>
  <c r="C52" i="3"/>
  <c r="C54" i="3"/>
  <c r="C56" i="3"/>
  <c r="C58" i="3"/>
  <c r="C60" i="3"/>
  <c r="C62" i="3"/>
  <c r="C64" i="3"/>
  <c r="C5" i="3" s="1"/>
  <c r="C66" i="3"/>
  <c r="C68" i="3"/>
  <c r="C70" i="3"/>
  <c r="C72" i="3"/>
  <c r="C74" i="3"/>
  <c r="C76" i="3"/>
  <c r="C78" i="3"/>
  <c r="C80" i="3"/>
  <c r="C82" i="3"/>
  <c r="C84" i="3"/>
  <c r="D49" i="3"/>
  <c r="D51" i="3"/>
  <c r="D53" i="3"/>
  <c r="D55" i="3"/>
  <c r="D57" i="3"/>
  <c r="D59" i="3"/>
  <c r="D22" i="3"/>
  <c r="D26" i="3"/>
  <c r="D30" i="3"/>
  <c r="D34" i="3"/>
  <c r="D38" i="3"/>
  <c r="D42" i="3"/>
  <c r="E50" i="3"/>
  <c r="E54" i="3"/>
  <c r="E5" i="3" s="1"/>
  <c r="E58" i="3"/>
  <c r="E62" i="3"/>
  <c r="E66" i="3"/>
  <c r="E70" i="3"/>
  <c r="E74" i="3"/>
  <c r="E78" i="3"/>
  <c r="E82" i="3"/>
  <c r="F49" i="3"/>
  <c r="F53" i="3"/>
  <c r="F57" i="3"/>
  <c r="F61" i="3"/>
  <c r="F65" i="3"/>
  <c r="F69" i="3"/>
  <c r="F73" i="3"/>
  <c r="F77" i="3"/>
  <c r="F81" i="3"/>
  <c r="F85" i="3"/>
  <c r="G52" i="3"/>
  <c r="G56" i="3"/>
  <c r="G60" i="3"/>
  <c r="G64" i="3"/>
  <c r="G68" i="3"/>
  <c r="G72" i="3"/>
  <c r="G76" i="3"/>
  <c r="G80" i="3"/>
  <c r="G84" i="3"/>
  <c r="H51" i="3"/>
  <c r="H55" i="3"/>
  <c r="H59" i="3"/>
  <c r="H63" i="3"/>
  <c r="H67" i="3"/>
  <c r="H71" i="3"/>
  <c r="H75" i="3"/>
  <c r="H79" i="3"/>
  <c r="H83" i="3"/>
  <c r="I50" i="3"/>
  <c r="I54" i="3"/>
  <c r="I58" i="3"/>
  <c r="I62" i="3"/>
  <c r="I66" i="3"/>
  <c r="I70" i="3"/>
  <c r="I74" i="3"/>
  <c r="I78" i="3"/>
  <c r="I82" i="3"/>
  <c r="J49" i="3"/>
  <c r="J53" i="3"/>
  <c r="J57" i="3"/>
  <c r="J61" i="3"/>
  <c r="J65" i="3"/>
  <c r="J69" i="3"/>
  <c r="J73" i="3"/>
  <c r="J77" i="3"/>
  <c r="J81" i="3"/>
  <c r="J85" i="3"/>
  <c r="K52" i="3"/>
  <c r="K56" i="3"/>
  <c r="K60" i="3"/>
  <c r="K64" i="3"/>
  <c r="K68" i="3"/>
  <c r="K72" i="3"/>
  <c r="K76" i="3"/>
  <c r="K80" i="3"/>
  <c r="K84" i="3"/>
  <c r="L51" i="3"/>
  <c r="L55" i="3"/>
  <c r="L59" i="3"/>
  <c r="L63" i="3"/>
  <c r="L67" i="3"/>
  <c r="L71" i="3"/>
  <c r="L75" i="3"/>
  <c r="L79" i="3"/>
  <c r="L83" i="3"/>
  <c r="M50" i="3"/>
  <c r="M54" i="3"/>
  <c r="M58" i="3"/>
  <c r="M62" i="3"/>
  <c r="M66" i="3"/>
  <c r="M70" i="3"/>
  <c r="M74" i="3"/>
  <c r="M78" i="3"/>
  <c r="M82" i="3"/>
  <c r="N49" i="3"/>
  <c r="N53" i="3"/>
  <c r="N57" i="3"/>
  <c r="N61" i="3"/>
  <c r="N65" i="3"/>
  <c r="N69" i="3"/>
  <c r="N73" i="3"/>
  <c r="N77" i="3"/>
  <c r="N81" i="3"/>
  <c r="N85" i="3"/>
  <c r="O52" i="3"/>
  <c r="O56" i="3"/>
  <c r="O60" i="3"/>
  <c r="O64" i="3"/>
  <c r="O68" i="3"/>
  <c r="O72" i="3"/>
  <c r="O76" i="3"/>
  <c r="O80" i="3"/>
  <c r="O84" i="3"/>
  <c r="P51" i="3"/>
  <c r="P55" i="3"/>
  <c r="P59" i="3"/>
  <c r="P63" i="3"/>
  <c r="P67" i="3"/>
  <c r="P71" i="3"/>
  <c r="P75" i="3"/>
  <c r="P79" i="3"/>
  <c r="P83" i="3"/>
  <c r="Q50" i="3"/>
  <c r="Q54" i="3"/>
  <c r="Q58" i="3"/>
  <c r="Q62" i="3"/>
  <c r="Q66" i="3"/>
  <c r="Q70" i="3"/>
  <c r="Q74" i="3"/>
  <c r="Q78" i="3"/>
  <c r="Q82" i="3"/>
  <c r="B8" i="3"/>
  <c r="B10" i="3"/>
  <c r="B12" i="3"/>
  <c r="B14" i="3"/>
  <c r="B16" i="3"/>
  <c r="B18" i="3"/>
  <c r="B20" i="3"/>
  <c r="B22" i="3"/>
  <c r="B24" i="3"/>
  <c r="B26" i="3"/>
  <c r="B28" i="3"/>
  <c r="B30" i="3"/>
  <c r="B32" i="3"/>
  <c r="B34" i="3"/>
  <c r="B4" i="3" s="1"/>
  <c r="B36" i="3"/>
  <c r="B38" i="3"/>
  <c r="B40" i="3"/>
  <c r="B42" i="3"/>
  <c r="B44" i="3"/>
  <c r="C9" i="3"/>
  <c r="C11" i="3"/>
  <c r="C13" i="3"/>
  <c r="C15" i="3"/>
  <c r="C17" i="3"/>
  <c r="C19" i="3"/>
  <c r="C21" i="3"/>
  <c r="C23" i="3"/>
  <c r="C4" i="3" s="1"/>
  <c r="C25" i="3"/>
  <c r="C27" i="3"/>
  <c r="C29" i="3"/>
  <c r="C31" i="3"/>
  <c r="C33" i="3"/>
  <c r="C35" i="3"/>
  <c r="C37" i="3"/>
  <c r="C39" i="3"/>
  <c r="C41" i="3"/>
  <c r="C43" i="3"/>
  <c r="D8" i="3"/>
  <c r="D10" i="3"/>
  <c r="D12" i="3"/>
  <c r="D14" i="3"/>
  <c r="D16" i="3"/>
  <c r="D18" i="3"/>
  <c r="D61" i="3"/>
  <c r="D65" i="3"/>
  <c r="D69" i="3"/>
  <c r="D73" i="3"/>
  <c r="D77" i="3"/>
  <c r="D81" i="3"/>
  <c r="E8" i="3"/>
  <c r="E16" i="3"/>
  <c r="E20" i="3"/>
  <c r="E24" i="3"/>
  <c r="E28" i="3"/>
  <c r="E32" i="3"/>
  <c r="E36" i="3"/>
  <c r="E40" i="3"/>
  <c r="E44" i="3"/>
  <c r="F11" i="3"/>
  <c r="F15" i="3"/>
  <c r="F19" i="3"/>
  <c r="F23" i="3"/>
  <c r="F27" i="3"/>
  <c r="F31" i="3"/>
  <c r="F35" i="3"/>
  <c r="F39" i="3"/>
  <c r="G10" i="3"/>
  <c r="G14" i="3"/>
  <c r="G18" i="3"/>
  <c r="G22" i="3"/>
  <c r="G26" i="3"/>
  <c r="G30" i="3"/>
  <c r="G34" i="3"/>
  <c r="G38" i="3"/>
  <c r="H9" i="3"/>
  <c r="H13" i="3"/>
  <c r="H17" i="3"/>
  <c r="H21" i="3"/>
  <c r="H25" i="3"/>
  <c r="H29" i="3"/>
  <c r="H33" i="3"/>
  <c r="H37" i="3"/>
  <c r="H4" i="3" s="1"/>
  <c r="H41" i="3"/>
  <c r="I8" i="3"/>
  <c r="I12" i="3"/>
  <c r="I16" i="3"/>
  <c r="I20" i="3"/>
  <c r="I24" i="3"/>
  <c r="I28" i="3"/>
  <c r="I32" i="3"/>
  <c r="I36" i="3"/>
  <c r="I40" i="3"/>
  <c r="I44" i="3"/>
  <c r="J11" i="3"/>
  <c r="J15" i="3"/>
  <c r="J19" i="3"/>
  <c r="J23" i="3"/>
  <c r="J27" i="3"/>
  <c r="J31" i="3"/>
  <c r="J35" i="3"/>
  <c r="J39" i="3"/>
  <c r="K10" i="3"/>
  <c r="K14" i="3"/>
  <c r="K18" i="3"/>
  <c r="K22" i="3"/>
  <c r="K26" i="3"/>
  <c r="K30" i="3"/>
  <c r="K34" i="3"/>
  <c r="K38" i="3"/>
  <c r="L9" i="3"/>
  <c r="L13" i="3"/>
  <c r="L17" i="3"/>
  <c r="L21" i="3"/>
  <c r="L25" i="3"/>
  <c r="L29" i="3"/>
  <c r="L33" i="3"/>
  <c r="L37" i="3"/>
  <c r="L41" i="3"/>
  <c r="M8" i="3"/>
  <c r="M12" i="3"/>
  <c r="M16" i="3"/>
  <c r="M20" i="3"/>
  <c r="M24" i="3"/>
  <c r="M28" i="3"/>
  <c r="M32" i="3"/>
  <c r="M36" i="3"/>
  <c r="M40" i="3"/>
  <c r="M44" i="3"/>
  <c r="N11" i="3"/>
  <c r="N15" i="3"/>
  <c r="N19" i="3"/>
  <c r="N23" i="3"/>
  <c r="N27" i="3"/>
  <c r="N31" i="3"/>
  <c r="N35" i="3"/>
  <c r="N39" i="3"/>
  <c r="N43" i="3"/>
  <c r="O10" i="3"/>
  <c r="O14" i="3"/>
  <c r="O18" i="3"/>
  <c r="O22" i="3"/>
  <c r="O26" i="3"/>
  <c r="O30" i="3"/>
  <c r="O34" i="3"/>
  <c r="O38" i="3"/>
  <c r="P9" i="3"/>
  <c r="P13" i="3"/>
  <c r="P17" i="3"/>
  <c r="P21" i="3"/>
  <c r="P25" i="3"/>
  <c r="P29" i="3"/>
  <c r="P33" i="3"/>
  <c r="P37" i="3"/>
  <c r="Q8" i="3"/>
  <c r="Q12" i="3"/>
  <c r="Q16" i="3"/>
  <c r="Q20" i="3"/>
  <c r="Q24" i="3"/>
  <c r="Q28" i="3"/>
  <c r="Q32" i="3"/>
  <c r="Q36" i="3"/>
  <c r="Q40" i="3"/>
  <c r="Q44" i="3"/>
  <c r="O43" i="3"/>
  <c r="O41" i="3"/>
  <c r="O39" i="3"/>
  <c r="O37" i="3"/>
  <c r="O35" i="3"/>
  <c r="O33" i="3"/>
  <c r="O31" i="3"/>
  <c r="O29" i="3"/>
  <c r="O27" i="3"/>
  <c r="O25" i="3"/>
  <c r="O23" i="3"/>
  <c r="O21" i="3"/>
  <c r="O19" i="3"/>
  <c r="O17" i="3"/>
  <c r="O15" i="3"/>
  <c r="O13" i="3"/>
  <c r="O11" i="3"/>
  <c r="O9" i="3"/>
  <c r="O85" i="3"/>
  <c r="O83" i="3"/>
  <c r="O81" i="3"/>
  <c r="O79" i="3"/>
  <c r="O77" i="3"/>
  <c r="O75" i="3"/>
  <c r="O73" i="3"/>
  <c r="O71" i="3"/>
  <c r="O69" i="3"/>
  <c r="O67" i="3"/>
  <c r="O65" i="3"/>
  <c r="O63" i="3"/>
  <c r="O61" i="3"/>
  <c r="O59" i="3"/>
  <c r="O57" i="3"/>
  <c r="O55" i="3"/>
  <c r="O53" i="3"/>
  <c r="O51" i="3"/>
  <c r="O49" i="3"/>
  <c r="J44" i="3"/>
  <c r="J42" i="3"/>
  <c r="J40" i="3"/>
  <c r="J38" i="3"/>
  <c r="J36" i="3"/>
  <c r="J34" i="3"/>
  <c r="J32" i="3"/>
  <c r="J30" i="3"/>
  <c r="J28" i="3"/>
  <c r="J26" i="3"/>
  <c r="J24" i="3"/>
  <c r="J22" i="3"/>
  <c r="J20" i="3"/>
  <c r="J18" i="3"/>
  <c r="J16" i="3"/>
  <c r="J14" i="3"/>
  <c r="J12" i="3"/>
  <c r="J10" i="3"/>
  <c r="J8" i="3"/>
  <c r="J84" i="3"/>
  <c r="J82" i="3"/>
  <c r="J80" i="3"/>
  <c r="J78" i="3"/>
  <c r="J76" i="3"/>
  <c r="J74" i="3"/>
  <c r="J72" i="3"/>
  <c r="J70" i="3"/>
  <c r="J68" i="3"/>
  <c r="J66" i="3"/>
  <c r="J64" i="3"/>
  <c r="J62" i="3"/>
  <c r="J60" i="3"/>
  <c r="J58" i="3"/>
  <c r="J56" i="3"/>
  <c r="J54" i="3"/>
  <c r="J52" i="3"/>
  <c r="J50" i="3"/>
  <c r="F44" i="3"/>
  <c r="F42" i="3"/>
  <c r="F40" i="3"/>
  <c r="F38" i="3"/>
  <c r="F36" i="3"/>
  <c r="F34" i="3"/>
  <c r="F32" i="3"/>
  <c r="F30" i="3"/>
  <c r="F28" i="3"/>
  <c r="F26" i="3"/>
  <c r="F24" i="3"/>
  <c r="F22" i="3"/>
  <c r="F20" i="3"/>
  <c r="F18" i="3"/>
  <c r="F16" i="3"/>
  <c r="F14" i="3"/>
  <c r="F12" i="3"/>
  <c r="F10" i="3"/>
  <c r="F8" i="3"/>
  <c r="F84" i="3"/>
  <c r="F82" i="3"/>
  <c r="F80" i="3"/>
  <c r="F78" i="3"/>
  <c r="F76" i="3"/>
  <c r="F74" i="3"/>
  <c r="F72" i="3"/>
  <c r="F70" i="3"/>
  <c r="F68" i="3"/>
  <c r="F66" i="3"/>
  <c r="F64" i="3"/>
  <c r="F62" i="3"/>
  <c r="F60" i="3"/>
  <c r="F58" i="3"/>
  <c r="F56" i="3"/>
  <c r="F54" i="3"/>
  <c r="F52" i="3"/>
  <c r="F50" i="3"/>
  <c r="P44" i="3"/>
  <c r="P42" i="3"/>
  <c r="P40" i="3"/>
  <c r="P38" i="3"/>
  <c r="P36" i="3"/>
  <c r="P34" i="3"/>
  <c r="P32" i="3"/>
  <c r="P30" i="3"/>
  <c r="P28" i="3"/>
  <c r="P26" i="3"/>
  <c r="P24" i="3"/>
  <c r="P22" i="3"/>
  <c r="P20" i="3"/>
  <c r="P18" i="3"/>
  <c r="P16" i="3"/>
  <c r="P14" i="3"/>
  <c r="P12" i="3"/>
  <c r="P10" i="3"/>
  <c r="P8" i="3"/>
  <c r="P84" i="3"/>
  <c r="P82" i="3"/>
  <c r="P80" i="3"/>
  <c r="P78" i="3"/>
  <c r="P76" i="3"/>
  <c r="P74" i="3"/>
  <c r="P72" i="3"/>
  <c r="P70" i="3"/>
  <c r="P68" i="3"/>
  <c r="P66" i="3"/>
  <c r="P64" i="3"/>
  <c r="P62" i="3"/>
  <c r="P60" i="3"/>
  <c r="P58" i="3"/>
  <c r="P56" i="3"/>
  <c r="P54" i="3"/>
  <c r="P52" i="3"/>
  <c r="P50" i="3"/>
  <c r="K43" i="3"/>
  <c r="K41" i="3"/>
  <c r="K39" i="3"/>
  <c r="K37" i="3"/>
  <c r="K35" i="3"/>
  <c r="K33" i="3"/>
  <c r="K31" i="3"/>
  <c r="K29" i="3"/>
  <c r="K27" i="3"/>
  <c r="K25" i="3"/>
  <c r="K23" i="3"/>
  <c r="K21" i="3"/>
  <c r="K19" i="3"/>
  <c r="K17" i="3"/>
  <c r="K15" i="3"/>
  <c r="K13" i="3"/>
  <c r="K11" i="3"/>
  <c r="K9" i="3"/>
  <c r="K85" i="3"/>
  <c r="K83" i="3"/>
  <c r="K81" i="3"/>
  <c r="K79" i="3"/>
  <c r="K77" i="3"/>
  <c r="K75" i="3"/>
  <c r="K73" i="3"/>
  <c r="K71" i="3"/>
  <c r="K69" i="3"/>
  <c r="K67" i="3"/>
  <c r="K65" i="3"/>
  <c r="K63" i="3"/>
  <c r="K61" i="3"/>
  <c r="K59" i="3"/>
  <c r="K57" i="3"/>
  <c r="K55" i="3"/>
  <c r="K53" i="3"/>
  <c r="K51" i="3"/>
  <c r="K49" i="3"/>
  <c r="G43" i="3"/>
  <c r="G41" i="3"/>
  <c r="G39" i="3"/>
  <c r="G37" i="3"/>
  <c r="G35" i="3"/>
  <c r="G33" i="3"/>
  <c r="G31" i="3"/>
  <c r="G29" i="3"/>
  <c r="G27" i="3"/>
  <c r="G25" i="3"/>
  <c r="G23" i="3"/>
  <c r="G21" i="3"/>
  <c r="G19" i="3"/>
  <c r="G17" i="3"/>
  <c r="G15" i="3"/>
  <c r="G13" i="3"/>
  <c r="G11" i="3"/>
  <c r="G9" i="3"/>
  <c r="G85" i="3"/>
  <c r="G83" i="3"/>
  <c r="G81" i="3"/>
  <c r="G79" i="3"/>
  <c r="G77" i="3"/>
  <c r="G75" i="3"/>
  <c r="G73" i="3"/>
  <c r="G71" i="3"/>
  <c r="G69" i="3"/>
  <c r="G67" i="3"/>
  <c r="G65" i="3"/>
  <c r="G63" i="3"/>
  <c r="G61" i="3"/>
  <c r="G59" i="3"/>
  <c r="G57" i="3"/>
  <c r="G55" i="3"/>
  <c r="G53" i="3"/>
  <c r="G51" i="3"/>
  <c r="G49" i="3"/>
  <c r="B50" i="3"/>
  <c r="B52" i="3"/>
  <c r="B54" i="3"/>
  <c r="B56" i="3"/>
  <c r="B58" i="3"/>
  <c r="B60" i="3"/>
  <c r="B62" i="3"/>
  <c r="B64" i="3"/>
  <c r="B66" i="3"/>
  <c r="B68" i="3"/>
  <c r="B70" i="3"/>
  <c r="B72" i="3"/>
  <c r="B74" i="3"/>
  <c r="B76" i="3"/>
  <c r="B78" i="3"/>
  <c r="B80" i="3"/>
  <c r="B82" i="3"/>
  <c r="C49" i="3"/>
  <c r="C51" i="3"/>
  <c r="C53" i="3"/>
  <c r="C55" i="3"/>
  <c r="C57" i="3"/>
  <c r="C59" i="3"/>
  <c r="C61" i="3"/>
  <c r="C63" i="3"/>
  <c r="C65" i="3"/>
  <c r="C67" i="3"/>
  <c r="C69" i="3"/>
  <c r="C71" i="3"/>
  <c r="C73" i="3"/>
  <c r="C75" i="3"/>
  <c r="C77" i="3"/>
  <c r="C79" i="3"/>
  <c r="C81" i="3"/>
  <c r="C83" i="3"/>
  <c r="D50" i="3"/>
  <c r="D52" i="3"/>
  <c r="D54" i="3"/>
  <c r="D56" i="3"/>
  <c r="D58" i="3"/>
  <c r="D20" i="3"/>
  <c r="D24" i="3"/>
  <c r="D28" i="3"/>
  <c r="D32" i="3"/>
  <c r="D36" i="3"/>
  <c r="D40" i="3"/>
  <c r="D44" i="3"/>
  <c r="E52" i="3"/>
  <c r="E56" i="3"/>
  <c r="E60" i="3"/>
  <c r="E64" i="3"/>
  <c r="E68" i="3"/>
  <c r="E72" i="3"/>
  <c r="E76" i="3"/>
  <c r="E80" i="3"/>
  <c r="E84" i="3"/>
  <c r="F51" i="3"/>
  <c r="F55" i="3"/>
  <c r="F59" i="3"/>
  <c r="F63" i="3"/>
  <c r="F67" i="3"/>
  <c r="F71" i="3"/>
  <c r="F75" i="3"/>
  <c r="F79" i="3"/>
  <c r="F83" i="3"/>
  <c r="G50" i="3"/>
  <c r="G54" i="3"/>
  <c r="G58" i="3"/>
  <c r="G62" i="3"/>
  <c r="G66" i="3"/>
  <c r="G70" i="3"/>
  <c r="G74" i="3"/>
  <c r="G78" i="3"/>
  <c r="G82" i="3"/>
  <c r="H49" i="3"/>
  <c r="H53" i="3"/>
  <c r="H57" i="3"/>
  <c r="H61" i="3"/>
  <c r="H65" i="3"/>
  <c r="H69" i="3"/>
  <c r="H73" i="3"/>
  <c r="H77" i="3"/>
  <c r="H81" i="3"/>
  <c r="H85" i="3"/>
  <c r="I52" i="3"/>
  <c r="I56" i="3"/>
  <c r="I60" i="3"/>
  <c r="I64" i="3"/>
  <c r="I68" i="3"/>
  <c r="I72" i="3"/>
  <c r="I76" i="3"/>
  <c r="I80" i="3"/>
  <c r="I84" i="3"/>
  <c r="J51" i="3"/>
  <c r="J55" i="3"/>
  <c r="J59" i="3"/>
  <c r="J63" i="3"/>
  <c r="J67" i="3"/>
  <c r="J71" i="3"/>
  <c r="J75" i="3"/>
  <c r="J79" i="3"/>
  <c r="J83" i="3"/>
  <c r="K50" i="3"/>
  <c r="K54" i="3"/>
  <c r="K58" i="3"/>
  <c r="K62" i="3"/>
  <c r="K66" i="3"/>
  <c r="K70" i="3"/>
  <c r="K74" i="3"/>
  <c r="K78" i="3"/>
  <c r="K82" i="3"/>
  <c r="L49" i="3"/>
  <c r="L53" i="3"/>
  <c r="L57" i="3"/>
  <c r="L61" i="3"/>
  <c r="L65" i="3"/>
  <c r="L69" i="3"/>
  <c r="L73" i="3"/>
  <c r="L77" i="3"/>
  <c r="L81" i="3"/>
  <c r="L85" i="3"/>
  <c r="M52" i="3"/>
  <c r="M56" i="3"/>
  <c r="M60" i="3"/>
  <c r="M64" i="3"/>
  <c r="M68" i="3"/>
  <c r="M72" i="3"/>
  <c r="M76" i="3"/>
  <c r="M80" i="3"/>
  <c r="M84" i="3"/>
  <c r="N51" i="3"/>
  <c r="N55" i="3"/>
  <c r="N59" i="3"/>
  <c r="N63" i="3"/>
  <c r="N67" i="3"/>
  <c r="N71" i="3"/>
  <c r="N75" i="3"/>
  <c r="N79" i="3"/>
  <c r="N83" i="3"/>
  <c r="O50" i="3"/>
  <c r="O54" i="3"/>
  <c r="O58" i="3"/>
  <c r="O62" i="3"/>
  <c r="O66" i="3"/>
  <c r="O70" i="3"/>
  <c r="O74" i="3"/>
  <c r="O78" i="3"/>
  <c r="O82" i="3"/>
  <c r="P49" i="3"/>
  <c r="P53" i="3"/>
  <c r="P57" i="3"/>
  <c r="P61" i="3"/>
  <c r="P65" i="3"/>
  <c r="P69" i="3"/>
  <c r="P73" i="3"/>
  <c r="P77" i="3"/>
  <c r="P81" i="3"/>
  <c r="P85" i="3"/>
  <c r="Q52" i="3"/>
  <c r="Q56" i="3"/>
  <c r="Q60" i="3"/>
  <c r="Q64" i="3"/>
  <c r="Q68" i="3"/>
  <c r="Q72" i="3"/>
  <c r="Q76" i="3"/>
  <c r="Q80" i="3"/>
  <c r="Q84" i="3"/>
  <c r="E115" i="4"/>
  <c r="F38" i="4" s="1"/>
  <c r="F39" i="4" s="1"/>
  <c r="F72" i="4" s="1"/>
  <c r="E116" i="4"/>
  <c r="F41" i="4" s="1"/>
  <c r="F73" i="4" s="1"/>
  <c r="E114" i="4"/>
  <c r="F37" i="4" s="1"/>
  <c r="F164" i="4"/>
  <c r="G163" i="4"/>
  <c r="G161" i="4"/>
  <c r="E111" i="4"/>
  <c r="F47" i="4" s="1"/>
  <c r="F79" i="4" s="1"/>
  <c r="D111" i="4"/>
  <c r="E47" i="4" s="1"/>
  <c r="E79" i="4" s="1"/>
  <c r="G162" i="4"/>
  <c r="C228" i="4"/>
  <c r="E31" i="4"/>
  <c r="E32" i="4" s="1"/>
  <c r="D114" i="4"/>
  <c r="E37" i="4" s="1"/>
  <c r="D125" i="4"/>
  <c r="E138" i="4"/>
  <c r="F138" i="4" s="1"/>
  <c r="G138" i="4" s="1"/>
  <c r="E10" i="4"/>
  <c r="F46" i="4"/>
  <c r="F78" i="4" s="1"/>
  <c r="D116" i="4"/>
  <c r="E41" i="4" s="1"/>
  <c r="E73" i="4" s="1"/>
  <c r="E122" i="4"/>
  <c r="F122" i="4" s="1"/>
  <c r="G122" i="4" s="1"/>
  <c r="F67" i="4"/>
  <c r="E67" i="4"/>
  <c r="G103" i="4" l="1"/>
  <c r="D109" i="4"/>
  <c r="E36" i="4" s="1"/>
  <c r="E42" i="4" s="1"/>
  <c r="E74" i="4" s="1"/>
  <c r="E109" i="4"/>
  <c r="F36" i="4" s="1"/>
  <c r="F43" i="4" s="1"/>
  <c r="F75" i="4" s="1"/>
  <c r="D141" i="4"/>
  <c r="E125" i="4"/>
  <c r="F125" i="4" s="1"/>
  <c r="G125" i="4" s="1"/>
  <c r="E126" i="4"/>
  <c r="F126" i="4" s="1"/>
  <c r="G126" i="4" s="1"/>
  <c r="D142" i="4"/>
  <c r="D143" i="4"/>
  <c r="K45" i="2"/>
  <c r="J45" i="2"/>
  <c r="B5" i="3"/>
  <c r="F46" i="2" s="1"/>
  <c r="M46" i="2"/>
  <c r="M45" i="2"/>
  <c r="L46" i="2"/>
  <c r="L45" i="2"/>
  <c r="F45" i="2"/>
  <c r="G45" i="2"/>
  <c r="E12" i="3"/>
  <c r="I45" i="2"/>
  <c r="I46" i="2"/>
  <c r="G46" i="2"/>
  <c r="F165" i="4"/>
  <c r="G164" i="4"/>
  <c r="D106" i="4"/>
  <c r="E71" i="4"/>
  <c r="E128" i="4"/>
  <c r="G128" i="4" s="1"/>
  <c r="F31" i="4"/>
  <c r="E30" i="4"/>
  <c r="G106" i="4" l="1"/>
  <c r="E43" i="4"/>
  <c r="E75" i="4" s="1"/>
  <c r="F42" i="4"/>
  <c r="F74" i="4" s="1"/>
  <c r="F71" i="4"/>
  <c r="D144" i="4"/>
  <c r="C144" i="4" s="1"/>
  <c r="E18" i="4" s="1"/>
  <c r="F166" i="4"/>
  <c r="G165" i="4"/>
  <c r="O38" i="4"/>
  <c r="E44" i="4"/>
  <c r="E76" i="4" s="1"/>
  <c r="N38" i="4"/>
  <c r="E29" i="4"/>
  <c r="F144" i="4" l="1"/>
  <c r="F167" i="4"/>
  <c r="G166" i="4"/>
  <c r="E68" i="4"/>
  <c r="G114" i="4"/>
  <c r="H114" i="4"/>
  <c r="F168" i="4" l="1"/>
  <c r="G167" i="4"/>
  <c r="F169" i="4" l="1"/>
  <c r="G168" i="4"/>
  <c r="F170" i="4" l="1"/>
  <c r="G169" i="4"/>
  <c r="F171" i="4" l="1"/>
  <c r="G170" i="4"/>
  <c r="F172" i="4" l="1"/>
  <c r="G171" i="4"/>
  <c r="G172" i="4" l="1"/>
  <c r="F173" i="4"/>
  <c r="F174" i="4" l="1"/>
  <c r="G173" i="4"/>
  <c r="F175" i="4" l="1"/>
  <c r="G174" i="4"/>
  <c r="F176" i="4" l="1"/>
  <c r="G175" i="4"/>
  <c r="G176" i="4" l="1"/>
  <c r="F177" i="4"/>
  <c r="F178" i="4" l="1"/>
  <c r="G177" i="4"/>
  <c r="F179" i="4" l="1"/>
  <c r="G178" i="4"/>
  <c r="F180" i="4" l="1"/>
  <c r="G179" i="4"/>
  <c r="F181" i="4" l="1"/>
  <c r="G180" i="4"/>
  <c r="F182" i="4" l="1"/>
  <c r="G181" i="4"/>
  <c r="F183" i="4" l="1"/>
  <c r="G182" i="4"/>
  <c r="F184" i="4" l="1"/>
  <c r="G183" i="4"/>
  <c r="F185" i="4" l="1"/>
  <c r="G184" i="4"/>
  <c r="F186" i="4" l="1"/>
  <c r="G185" i="4"/>
  <c r="F187" i="4" l="1"/>
  <c r="G186" i="4"/>
  <c r="F188" i="4" l="1"/>
  <c r="G187" i="4"/>
  <c r="F189" i="4" l="1"/>
  <c r="G188" i="4"/>
  <c r="F190" i="4" l="1"/>
  <c r="G189" i="4"/>
  <c r="F191" i="4" l="1"/>
  <c r="G190" i="4"/>
  <c r="F192" i="4" l="1"/>
  <c r="G191" i="4"/>
  <c r="G192" i="4" l="1"/>
  <c r="F193" i="4"/>
  <c r="F194" i="4" l="1"/>
  <c r="G193" i="4"/>
  <c r="F195" i="4" l="1"/>
  <c r="G194" i="4"/>
  <c r="F196" i="4" l="1"/>
  <c r="G195" i="4"/>
  <c r="F197" i="4" l="1"/>
  <c r="G196" i="4"/>
  <c r="F198" i="4" l="1"/>
  <c r="G197" i="4"/>
  <c r="F199" i="4" l="1"/>
  <c r="G198" i="4"/>
  <c r="F200" i="4" l="1"/>
  <c r="G199" i="4"/>
  <c r="F201" i="4" l="1"/>
  <c r="G200" i="4"/>
  <c r="F202" i="4" l="1"/>
  <c r="G201" i="4"/>
  <c r="F203" i="4" l="1"/>
  <c r="G202" i="4"/>
  <c r="F204" i="4" l="1"/>
  <c r="G203" i="4"/>
  <c r="F205" i="4" l="1"/>
  <c r="G204" i="4"/>
  <c r="F206" i="4" l="1"/>
  <c r="G205" i="4"/>
  <c r="F207" i="4" l="1"/>
  <c r="G206" i="4"/>
  <c r="F208" i="4" l="1"/>
  <c r="G207" i="4"/>
  <c r="F209" i="4" l="1"/>
  <c r="G208" i="4"/>
  <c r="F210" i="4" l="1"/>
  <c r="G209" i="4"/>
  <c r="F211" i="4" l="1"/>
  <c r="G210" i="4"/>
  <c r="F212" i="4" l="1"/>
  <c r="G211" i="4"/>
  <c r="F213" i="4" l="1"/>
  <c r="G212" i="4"/>
  <c r="F214" i="4" l="1"/>
  <c r="G213" i="4"/>
  <c r="F215" i="4" l="1"/>
  <c r="G214" i="4"/>
  <c r="F216" i="4" l="1"/>
  <c r="G215" i="4"/>
  <c r="F217" i="4" l="1"/>
  <c r="G216" i="4"/>
  <c r="F218" i="4" l="1"/>
  <c r="G217" i="4"/>
  <c r="F219" i="4" l="1"/>
  <c r="G218" i="4"/>
  <c r="F220" i="4" l="1"/>
  <c r="G219" i="4"/>
  <c r="F221" i="4" l="1"/>
  <c r="G220" i="4"/>
  <c r="F222" i="4" l="1"/>
  <c r="G221" i="4"/>
  <c r="F223" i="4" l="1"/>
  <c r="G222" i="4"/>
  <c r="F224" i="4" l="1"/>
  <c r="G223" i="4"/>
  <c r="F225" i="4" l="1"/>
  <c r="G225" i="4" s="1"/>
  <c r="G224" i="4"/>
  <c r="G226" i="4" l="1"/>
  <c r="G227" i="4" s="1"/>
  <c r="E227" i="4" l="1"/>
  <c r="C231" i="4" s="1"/>
  <c r="J23" i="4" s="1"/>
  <c r="H226" i="4"/>
  <c r="D228" i="4" l="1"/>
  <c r="C229" i="4" s="1"/>
  <c r="H227" i="4"/>
  <c r="C230" i="4" l="1"/>
  <c r="J22" i="4" s="1"/>
  <c r="H23" i="4" s="1"/>
  <c r="U44" i="2" l="1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58" i="2" l="1"/>
  <c r="F59" i="2" s="1"/>
  <c r="E57" i="2"/>
  <c r="F58" i="2" l="1"/>
  <c r="G59" i="2" l="1"/>
  <c r="F61" i="2"/>
  <c r="G58" i="2"/>
  <c r="F60" i="2"/>
  <c r="F62" i="2" s="1"/>
  <c r="H58" i="2" l="1"/>
  <c r="G61" i="2"/>
  <c r="G60" i="2"/>
  <c r="G62" i="2" s="1"/>
  <c r="H59" i="2"/>
  <c r="I58" i="2" l="1"/>
  <c r="H60" i="2"/>
  <c r="H62" i="2" s="1"/>
  <c r="I59" i="2"/>
  <c r="H61" i="2"/>
  <c r="I61" i="2" l="1"/>
  <c r="I60" i="2"/>
  <c r="J59" i="2"/>
  <c r="J58" i="2"/>
  <c r="I62" i="2" l="1"/>
  <c r="J61" i="2"/>
  <c r="J60" i="2"/>
  <c r="J62" i="2" s="1"/>
  <c r="K59" i="2"/>
  <c r="K58" i="2"/>
  <c r="K60" i="2" l="1"/>
  <c r="K62" i="2" s="1"/>
  <c r="K61" i="2"/>
  <c r="L58" i="2"/>
  <c r="L59" i="2"/>
  <c r="L60" i="2" l="1"/>
  <c r="L62" i="2" s="1"/>
  <c r="L61" i="2"/>
  <c r="M58" i="2"/>
  <c r="M59" i="2"/>
  <c r="M61" i="2" l="1"/>
  <c r="M60" i="2"/>
  <c r="M62" i="2" s="1"/>
  <c r="N59" i="2"/>
  <c r="N58" i="2"/>
  <c r="N61" i="2" l="1"/>
  <c r="N60" i="2"/>
  <c r="O59" i="2"/>
  <c r="O58" i="2"/>
  <c r="N62" i="2" l="1"/>
  <c r="O61" i="2"/>
  <c r="O60" i="2"/>
  <c r="P58" i="2"/>
  <c r="P59" i="2"/>
  <c r="O62" i="2" l="1"/>
  <c r="P60" i="2"/>
  <c r="P61" i="2"/>
  <c r="Q59" i="2"/>
  <c r="Q58" i="2"/>
  <c r="P62" i="2" l="1"/>
  <c r="Q61" i="2"/>
  <c r="Q60" i="2"/>
  <c r="Q62" i="2" s="1"/>
  <c r="R59" i="2"/>
  <c r="R58" i="2"/>
  <c r="R61" i="2" l="1"/>
  <c r="R60" i="2"/>
  <c r="R62" i="2" s="1"/>
  <c r="S59" i="2"/>
  <c r="S58" i="2"/>
  <c r="S60" i="2" l="1"/>
  <c r="S62" i="2" s="1"/>
  <c r="S61" i="2"/>
  <c r="T58" i="2"/>
  <c r="T59" i="2"/>
  <c r="T60" i="2" l="1"/>
  <c r="T62" i="2" s="1"/>
  <c r="T61" i="2"/>
  <c r="U59" i="2"/>
  <c r="U58" i="2"/>
  <c r="U61" i="2" l="1"/>
  <c r="U60" i="2"/>
  <c r="U62" i="2" s="1"/>
  <c r="E59" i="2" l="1"/>
  <c r="F5" i="2" s="1"/>
</calcChain>
</file>

<file path=xl/comments1.xml><?xml version="1.0" encoding="utf-8"?>
<comments xmlns="http://schemas.openxmlformats.org/spreadsheetml/2006/main">
  <authors>
    <author>Author</author>
  </authors>
  <commentList>
    <comment ref="D19" authorId="0" shapeId="0">
      <text>
        <r>
          <rPr>
            <b/>
            <sz val="9"/>
            <color indexed="81"/>
            <rFont val="Tahoma"/>
            <family val="2"/>
          </rPr>
          <t xml:space="preserve">ONLY ONE PINION PER SHAFT IS ALLOWED. REFER HELICAL GEAR CALCULATION TAB.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</rPr>
          <t>If Groove Type is O-Ring, then widths to be selected from 
2.4, 3.6, 4.8, 7.1, 9.5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E11" authorId="0" shapeId="0">
      <text>
        <r>
          <rPr>
            <b/>
            <sz val="9"/>
            <color indexed="81"/>
            <rFont val="Tahoma"/>
            <family val="2"/>
          </rPr>
          <t>1st choice:
1, 1.25, 1.5, 2, 2.5, 3, 4, 5, 6, 8, 10, 12, 16, 20, 25, 32, 40, 50
2nd choice:
1.125, 1.375, 1.75, 2.25, 2.75, 3.5, 4.5, 5.5, 7, 9, 11, 14, 18, 22, , 8, 36, 45</t>
        </r>
      </text>
    </comment>
    <comment ref="E17" authorId="0" shapeId="0">
      <text>
        <r>
          <rPr>
            <sz val="9"/>
            <color indexed="81"/>
            <rFont val="Tahoma"/>
            <family val="2"/>
          </rPr>
          <t xml:space="preserve">Use if </t>
        </r>
        <r>
          <rPr>
            <b/>
            <sz val="9"/>
            <color indexed="81"/>
            <rFont val="Tahoma"/>
            <family val="2"/>
          </rPr>
          <t>measured</t>
        </r>
        <r>
          <rPr>
            <sz val="9"/>
            <color indexed="81"/>
            <rFont val="Tahoma"/>
            <family val="2"/>
          </rPr>
          <t xml:space="preserve"> helix angle is approximately matching with </t>
        </r>
        <r>
          <rPr>
            <b/>
            <sz val="9"/>
            <color indexed="81"/>
            <rFont val="Tahoma"/>
            <family val="2"/>
          </rPr>
          <t xml:space="preserve">suggested </t>
        </r>
        <r>
          <rPr>
            <sz val="9"/>
            <color indexed="81"/>
            <rFont val="Tahoma"/>
            <family val="2"/>
          </rPr>
          <t>helix angle. Then it is No correction or S0 correction</t>
        </r>
      </text>
    </comment>
  </commentList>
</comments>
</file>

<file path=xl/sharedStrings.xml><?xml version="1.0" encoding="utf-8"?>
<sst xmlns="http://schemas.openxmlformats.org/spreadsheetml/2006/main" count="591" uniqueCount="423">
  <si>
    <t>Shaft steps</t>
  </si>
  <si>
    <t>Length</t>
  </si>
  <si>
    <t>Taper dia</t>
  </si>
  <si>
    <t>Keyway</t>
  </si>
  <si>
    <t>Left Shape</t>
  </si>
  <si>
    <t>Right Shape</t>
  </si>
  <si>
    <t>Width</t>
  </si>
  <si>
    <t>Start dim from step</t>
  </si>
  <si>
    <t>Thread</t>
  </si>
  <si>
    <t>Pitch</t>
  </si>
  <si>
    <t>Hand</t>
  </si>
  <si>
    <t>Type</t>
  </si>
  <si>
    <t>Tol</t>
  </si>
  <si>
    <t>Sur.finish</t>
  </si>
  <si>
    <t>Pinion</t>
  </si>
  <si>
    <t>Helix angle</t>
  </si>
  <si>
    <t>Circlip</t>
  </si>
  <si>
    <t>Groove dia</t>
  </si>
  <si>
    <t>Start</t>
  </si>
  <si>
    <t>Spline</t>
  </si>
  <si>
    <t>No. of teeth</t>
  </si>
  <si>
    <t>Groove Type</t>
  </si>
  <si>
    <t>Material</t>
  </si>
  <si>
    <t>Weight</t>
  </si>
  <si>
    <t>Dia</t>
  </si>
  <si>
    <t>Len</t>
  </si>
  <si>
    <t>Round</t>
  </si>
  <si>
    <t>m</t>
  </si>
  <si>
    <t>Square</t>
  </si>
  <si>
    <t>Groove</t>
  </si>
  <si>
    <t>Start Point</t>
  </si>
  <si>
    <t>Taper</t>
  </si>
  <si>
    <t>Max dia</t>
  </si>
  <si>
    <t>Density</t>
  </si>
  <si>
    <t>Surface finish</t>
  </si>
  <si>
    <t>Chamfer/Fillet</t>
  </si>
  <si>
    <t>Chamfer/ Fillet</t>
  </si>
  <si>
    <t>C</t>
  </si>
  <si>
    <t>Left size</t>
  </si>
  <si>
    <t>Right size</t>
  </si>
  <si>
    <t>F</t>
  </si>
  <si>
    <t>LH</t>
  </si>
  <si>
    <t>Module</t>
  </si>
  <si>
    <t>M</t>
  </si>
  <si>
    <t>RH</t>
  </si>
  <si>
    <t>Square/Round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</si>
  <si>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</si>
  <si>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</si>
  <si>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</si>
  <si>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</si>
  <si>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</si>
  <si>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</si>
  <si>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</si>
  <si>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</si>
  <si>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>STEP 9</t>
  </si>
  <si>
    <t>STEP 10</t>
  </si>
  <si>
    <t>STEP 11</t>
  </si>
  <si>
    <t>STEP 12</t>
  </si>
  <si>
    <t>STEP 13</t>
  </si>
  <si>
    <t>STEP 14</t>
  </si>
  <si>
    <t>STEP 15</t>
  </si>
  <si>
    <t>Dia-Depth</t>
  </si>
  <si>
    <t>STEP 16</t>
  </si>
  <si>
    <t>O-Ring</t>
  </si>
  <si>
    <t>Normal</t>
  </si>
  <si>
    <t>Cl. 4</t>
  </si>
  <si>
    <t>Cl. 4, IS: 2004</t>
  </si>
  <si>
    <t>g/cc</t>
  </si>
  <si>
    <t>kg</t>
  </si>
  <si>
    <t>40Cr4Mo3, IS:4367</t>
  </si>
  <si>
    <t>15Ni5Cr4Mo1, IS:4432</t>
  </si>
  <si>
    <t>40Ni6Cr4Mo3, IS:5517</t>
  </si>
  <si>
    <t>Cl. 5, IS: 2004</t>
  </si>
  <si>
    <t>X12Cr13, IS: 6603</t>
  </si>
  <si>
    <t>IS: 2004-91</t>
  </si>
  <si>
    <t>Cl. 5</t>
  </si>
  <si>
    <t>40Cr4Mo3</t>
  </si>
  <si>
    <t>IS:4367-91</t>
  </si>
  <si>
    <t>15Ni5Cr4Mo1</t>
  </si>
  <si>
    <t>IS:4432-88</t>
  </si>
  <si>
    <t>40Ni6Cr4Mo3</t>
  </si>
  <si>
    <t>IS:5517-93</t>
  </si>
  <si>
    <t>X12Cr13</t>
  </si>
  <si>
    <t>IS: 6603-01</t>
  </si>
  <si>
    <t>Selected</t>
  </si>
  <si>
    <t>Above</t>
  </si>
  <si>
    <t>Upto and including</t>
  </si>
  <si>
    <t>WEIGHT CALC</t>
  </si>
  <si>
    <t>MATERIAL</t>
  </si>
  <si>
    <t>KEYWAY TOL</t>
  </si>
  <si>
    <t>Width Tol</t>
  </si>
  <si>
    <t>Depth Tol</t>
  </si>
  <si>
    <t>tol on width</t>
  </si>
  <si>
    <t>tol on depth</t>
  </si>
  <si>
    <t>Left (Chamfer/Fillet)</t>
  </si>
  <si>
    <t>Right (Chamfer/Fillet)</t>
  </si>
  <si>
    <t>EXTERNAL GEAR</t>
  </si>
  <si>
    <t>Inputs</t>
  </si>
  <si>
    <t>Decimal Places</t>
  </si>
  <si>
    <t>Enter Job number:</t>
  </si>
  <si>
    <t xml:space="preserve">Approximation </t>
  </si>
  <si>
    <t>mm</t>
  </si>
  <si>
    <t>S.No</t>
  </si>
  <si>
    <t>Enter measured values</t>
  </si>
  <si>
    <t>Gear</t>
  </si>
  <si>
    <t>Involute / Fulldepth</t>
  </si>
  <si>
    <t>Full Depth</t>
  </si>
  <si>
    <t>Type of Gearing</t>
  </si>
  <si>
    <t>DMS to Decimal degree Convertor</t>
  </si>
  <si>
    <t>Hand of Helix</t>
  </si>
  <si>
    <t>Enter Degrees:</t>
  </si>
  <si>
    <t>Z1/Z2</t>
  </si>
  <si>
    <t>Enter Minutes:</t>
  </si>
  <si>
    <t>Tooth depth</t>
  </si>
  <si>
    <t>h</t>
  </si>
  <si>
    <t>Enter Seconds:</t>
  </si>
  <si>
    <t>Suggested module</t>
  </si>
  <si>
    <t>Decimal Degrees:</t>
  </si>
  <si>
    <t>Tip Diameters (Measured)</t>
  </si>
  <si>
    <t>da1/da2</t>
  </si>
  <si>
    <t>Decimal Degree to DMS convertor</t>
  </si>
  <si>
    <t>Tip Diameters (Calculated)</t>
  </si>
  <si>
    <t>Center distance (Measured)</t>
  </si>
  <si>
    <t>a</t>
  </si>
  <si>
    <t>Degrees:</t>
  </si>
  <si>
    <t>Center distance (Calculated)</t>
  </si>
  <si>
    <r>
      <t>a</t>
    </r>
    <r>
      <rPr>
        <vertAlign val="subscript"/>
        <sz val="11"/>
        <color theme="1"/>
        <rFont val="Calibri"/>
        <family val="2"/>
        <scheme val="minor"/>
      </rPr>
      <t>0</t>
    </r>
  </si>
  <si>
    <t>Minutes:</t>
  </si>
  <si>
    <t>β</t>
  </si>
  <si>
    <t>Seconds:</t>
  </si>
  <si>
    <t>Suggested helix angle</t>
  </si>
  <si>
    <t>Suggested correction:</t>
  </si>
  <si>
    <t>mm to Inch Convertor</t>
  </si>
  <si>
    <t>DESCRIPTION</t>
  </si>
  <si>
    <t>SYMBOL</t>
  </si>
  <si>
    <t>PINION</t>
  </si>
  <si>
    <t>GEAR</t>
  </si>
  <si>
    <t>Enter value in mm</t>
  </si>
  <si>
    <t>TYPE OF GEAR</t>
  </si>
  <si>
    <t>Inches in decimals</t>
  </si>
  <si>
    <t>inch</t>
  </si>
  <si>
    <t>MODULE</t>
  </si>
  <si>
    <t>Inches in fraction</t>
  </si>
  <si>
    <t>No. OF TEETH</t>
  </si>
  <si>
    <t>HAND OF HELIX</t>
  </si>
  <si>
    <t>HELIX ANGLE (deg. min. sec.)</t>
  </si>
  <si>
    <t>PRESSURE ANGLE (degrees)</t>
  </si>
  <si>
    <t>α</t>
  </si>
  <si>
    <t>BASIC RACK AS PER</t>
  </si>
  <si>
    <t>AS PER IS:2535</t>
  </si>
  <si>
    <t>REFERENCE CIRCLE DIA</t>
  </si>
  <si>
    <t>d1/d2</t>
  </si>
  <si>
    <t>CENTER DISTANCE</t>
  </si>
  <si>
    <t>SUGGESTED CORRECTION FACTORS COMBINATIONS</t>
  </si>
  <si>
    <r>
      <t>(CALCULATED)x</t>
    </r>
    <r>
      <rPr>
        <vertAlign val="subscript"/>
        <sz val="11"/>
        <color theme="1"/>
        <rFont val="Calibri"/>
        <family val="2"/>
      </rPr>
      <t>1</t>
    </r>
    <r>
      <rPr>
        <sz val="11"/>
        <color theme="1"/>
        <rFont val="Calibri"/>
        <family val="2"/>
      </rPr>
      <t>+x</t>
    </r>
    <r>
      <rPr>
        <vertAlign val="subscript"/>
        <sz val="11"/>
        <color theme="1"/>
        <rFont val="Calibri"/>
        <family val="2"/>
      </rPr>
      <t xml:space="preserve">2  </t>
    </r>
  </si>
  <si>
    <t>PROFILE CORRECTION FACTOR</t>
  </si>
  <si>
    <t>X1/X2</t>
  </si>
  <si>
    <t>ADDENDUM MODIFICATION CO-EFF</t>
  </si>
  <si>
    <t>y</t>
  </si>
  <si>
    <t>WORKING REFERENCE CIRCLE DIA</t>
  </si>
  <si>
    <t>dw1/dw2</t>
  </si>
  <si>
    <t>With topping</t>
  </si>
  <si>
    <t>Without topping</t>
  </si>
  <si>
    <t>TIP CIRCLE DIA (WITH TOPPING)</t>
  </si>
  <si>
    <t>TIP CIRCLE DIA (WITHOUT TOPPING)</t>
  </si>
  <si>
    <t>Clearance</t>
  </si>
  <si>
    <t>COMPARE WITH MEASURED</t>
  </si>
  <si>
    <t>ROOT CIRCLE DIA</t>
  </si>
  <si>
    <t>df1/df2</t>
  </si>
  <si>
    <t>ADDENDUM</t>
  </si>
  <si>
    <t>ha1/ha2</t>
  </si>
  <si>
    <t xml:space="preserve">DEDENDUM </t>
  </si>
  <si>
    <t>hf1/hf2</t>
  </si>
  <si>
    <t>CLEARANCE</t>
  </si>
  <si>
    <t>c</t>
  </si>
  <si>
    <t>ACCURACY GRADE</t>
  </si>
  <si>
    <t>L6                                    AS PER IS:3681-95</t>
  </si>
  <si>
    <t>BASE TANGENT LENGTH (TEETH)</t>
  </si>
  <si>
    <t>k1/k2</t>
  </si>
  <si>
    <t>wk1/wk2</t>
  </si>
  <si>
    <t>CONSTANT CHORD LENGTH</t>
  </si>
  <si>
    <t>sc</t>
  </si>
  <si>
    <t>CONSTANT CHORD HEIGHT</t>
  </si>
  <si>
    <t>fc</t>
  </si>
  <si>
    <t>PITCH LINE VELOCITY</t>
  </si>
  <si>
    <t>upto 8 m/s</t>
  </si>
  <si>
    <t>BACKLASH</t>
  </si>
  <si>
    <t>TIP CIRCLE DIA</t>
  </si>
  <si>
    <t>SELECTIONS</t>
  </si>
  <si>
    <t>Pitch line velocity</t>
  </si>
  <si>
    <t>Factor</t>
  </si>
  <si>
    <t>Selected factor</t>
  </si>
  <si>
    <t>Full Depth factor</t>
  </si>
  <si>
    <t>more than 8 m/s</t>
  </si>
  <si>
    <t>Stub factor</t>
  </si>
  <si>
    <t>External</t>
  </si>
  <si>
    <t>Ex / In?</t>
  </si>
  <si>
    <t>Internal</t>
  </si>
  <si>
    <t>Spur or Not</t>
  </si>
  <si>
    <t>CALCULATIONS</t>
  </si>
  <si>
    <r>
      <t>α</t>
    </r>
    <r>
      <rPr>
        <vertAlign val="subscript"/>
        <sz val="11"/>
        <color theme="1"/>
        <rFont val="Calibri"/>
        <family val="2"/>
      </rPr>
      <t>t</t>
    </r>
  </si>
  <si>
    <r>
      <t>α</t>
    </r>
    <r>
      <rPr>
        <vertAlign val="subscript"/>
        <sz val="11"/>
        <color theme="1"/>
        <rFont val="Calibri"/>
        <family val="2"/>
      </rPr>
      <t>tW</t>
    </r>
  </si>
  <si>
    <r>
      <t>inv α</t>
    </r>
    <r>
      <rPr>
        <vertAlign val="subscript"/>
        <sz val="11"/>
        <color theme="1"/>
        <rFont val="Calibri"/>
        <family val="2"/>
      </rPr>
      <t>tW</t>
    </r>
  </si>
  <si>
    <r>
      <t>inv α</t>
    </r>
    <r>
      <rPr>
        <vertAlign val="subscript"/>
        <sz val="11"/>
        <color theme="1"/>
        <rFont val="Calibri"/>
        <family val="2"/>
      </rPr>
      <t>t</t>
    </r>
  </si>
  <si>
    <t>Internal (gear)</t>
  </si>
  <si>
    <r>
      <t>x</t>
    </r>
    <r>
      <rPr>
        <vertAlign val="subscript"/>
        <sz val="11"/>
        <color theme="1"/>
        <rFont val="Calibri"/>
        <family val="2"/>
      </rPr>
      <t>1</t>
    </r>
    <r>
      <rPr>
        <sz val="11"/>
        <color theme="1"/>
        <rFont val="Calibri"/>
        <family val="2"/>
      </rPr>
      <t>+x</t>
    </r>
    <r>
      <rPr>
        <vertAlign val="subscript"/>
        <sz val="11"/>
        <color theme="1"/>
        <rFont val="Calibri"/>
        <family val="2"/>
      </rPr>
      <t>2</t>
    </r>
  </si>
  <si>
    <t>x2-x1</t>
  </si>
  <si>
    <t>y (calculated)</t>
  </si>
  <si>
    <r>
      <t>Center distance (a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)</t>
    </r>
  </si>
  <si>
    <t>Center distance (a)</t>
  </si>
  <si>
    <t>Working circle dia (dw1/dw2)</t>
  </si>
  <si>
    <t>k1 , k2</t>
  </si>
  <si>
    <t>W1/W2</t>
  </si>
  <si>
    <t>da1 / da2 (with topping)</t>
  </si>
  <si>
    <t>da1 / da2 (without topping)</t>
  </si>
  <si>
    <t>df1 / df2</t>
  </si>
  <si>
    <t>Comparision</t>
  </si>
  <si>
    <t>Measured</t>
  </si>
  <si>
    <t>Calculated</t>
  </si>
  <si>
    <t>%Diff</t>
  </si>
  <si>
    <t>NOT MATCHING???</t>
  </si>
  <si>
    <t xml:space="preserve">   Initial</t>
  </si>
  <si>
    <t xml:space="preserve">   C/C</t>
  </si>
  <si>
    <t xml:space="preserve">     da1</t>
  </si>
  <si>
    <t xml:space="preserve">     da2</t>
  </si>
  <si>
    <t xml:space="preserve">   Final</t>
  </si>
  <si>
    <t>x1+x2 (sum of selected factors)</t>
  </si>
  <si>
    <t>°</t>
  </si>
  <si>
    <t>'</t>
  </si>
  <si>
    <t>"</t>
  </si>
  <si>
    <t>Correction Type</t>
  </si>
  <si>
    <t>da1</t>
  </si>
  <si>
    <t>da2</t>
  </si>
  <si>
    <t>Type of Correction</t>
  </si>
  <si>
    <t>NO CORRECTION</t>
  </si>
  <si>
    <t>S0 CORRECTION</t>
  </si>
  <si>
    <t>S1 CORRECTION</t>
  </si>
  <si>
    <t>Selection</t>
  </si>
  <si>
    <t>Stub</t>
  </si>
  <si>
    <t>Select</t>
  </si>
  <si>
    <t>None</t>
  </si>
  <si>
    <t>DECIMAL TO FRACTION CONVERTOR</t>
  </si>
  <si>
    <t>1/64</t>
  </si>
  <si>
    <t>1/32</t>
  </si>
  <si>
    <t>3/64</t>
  </si>
  <si>
    <t>1/16</t>
  </si>
  <si>
    <t>5/64</t>
  </si>
  <si>
    <t>3/32</t>
  </si>
  <si>
    <t>7/64</t>
  </si>
  <si>
    <t>1/8</t>
  </si>
  <si>
    <t>9/64</t>
  </si>
  <si>
    <t>5/32</t>
  </si>
  <si>
    <t>11/64</t>
  </si>
  <si>
    <t>3/16</t>
  </si>
  <si>
    <t>13/64</t>
  </si>
  <si>
    <t>7/32</t>
  </si>
  <si>
    <t>15/64</t>
  </si>
  <si>
    <t>1/4</t>
  </si>
  <si>
    <t>17/64</t>
  </si>
  <si>
    <t>9/32</t>
  </si>
  <si>
    <t>19/64</t>
  </si>
  <si>
    <t>5/16</t>
  </si>
  <si>
    <t>21/64</t>
  </si>
  <si>
    <t>11/32</t>
  </si>
  <si>
    <t>23/64</t>
  </si>
  <si>
    <t>3/8</t>
  </si>
  <si>
    <t>25/64</t>
  </si>
  <si>
    <t>13/32</t>
  </si>
  <si>
    <t>27/64</t>
  </si>
  <si>
    <t>7/16</t>
  </si>
  <si>
    <t>29/64</t>
  </si>
  <si>
    <t>15/32</t>
  </si>
  <si>
    <t>31/64</t>
  </si>
  <si>
    <t>1/2</t>
  </si>
  <si>
    <t>33/64</t>
  </si>
  <si>
    <t>17/32</t>
  </si>
  <si>
    <t>35/64</t>
  </si>
  <si>
    <t>9/16</t>
  </si>
  <si>
    <t>37/64</t>
  </si>
  <si>
    <t>19/32</t>
  </si>
  <si>
    <t>39/64</t>
  </si>
  <si>
    <t>5/8</t>
  </si>
  <si>
    <t>41/64</t>
  </si>
  <si>
    <t>21/32</t>
  </si>
  <si>
    <t>43/64</t>
  </si>
  <si>
    <t>11/16</t>
  </si>
  <si>
    <t>45/64</t>
  </si>
  <si>
    <t>23/32</t>
  </si>
  <si>
    <t>47/64</t>
  </si>
  <si>
    <t>3/4</t>
  </si>
  <si>
    <t>49/64</t>
  </si>
  <si>
    <t>25/32</t>
  </si>
  <si>
    <t>51/64</t>
  </si>
  <si>
    <t>13/16</t>
  </si>
  <si>
    <t>53/64</t>
  </si>
  <si>
    <t>27/32</t>
  </si>
  <si>
    <t>55/64</t>
  </si>
  <si>
    <t>7/8</t>
  </si>
  <si>
    <t>57/64</t>
  </si>
  <si>
    <t>29/32</t>
  </si>
  <si>
    <t>59/64</t>
  </si>
  <si>
    <t>15/16</t>
  </si>
  <si>
    <t>61/64</t>
  </si>
  <si>
    <t>31/32</t>
  </si>
  <si>
    <t>63/64</t>
  </si>
  <si>
    <t>1</t>
  </si>
  <si>
    <t>Pitch line vel upto 8 m/s</t>
  </si>
  <si>
    <t>Pitch line vel more than 8 m/s</t>
  </si>
  <si>
    <t>module</t>
  </si>
  <si>
    <t>min</t>
  </si>
  <si>
    <t>max</t>
  </si>
  <si>
    <t>backlash</t>
  </si>
  <si>
    <t>final backlash</t>
  </si>
  <si>
    <t>Yes</t>
  </si>
  <si>
    <t>Bearing?</t>
  </si>
  <si>
    <t>Bearing area?(Yes/Blank)</t>
  </si>
  <si>
    <t>Nominal Shaft Sizes (mm)</t>
  </si>
  <si>
    <t>inc.</t>
  </si>
  <si>
    <t>a12</t>
  </si>
  <si>
    <t>d6</t>
  </si>
  <si>
    <t>e6</t>
  </si>
  <si>
    <t>e13</t>
  </si>
  <si>
    <t>f5</t>
  </si>
  <si>
    <t>f6</t>
  </si>
  <si>
    <t>f7</t>
  </si>
  <si>
    <t>g5</t>
  </si>
  <si>
    <t>g6</t>
  </si>
  <si>
    <t>g7</t>
  </si>
  <si>
    <t>h4</t>
  </si>
  <si>
    <t>h5</t>
  </si>
  <si>
    <t>h6</t>
  </si>
  <si>
    <t>h7</t>
  </si>
  <si>
    <t>h8</t>
  </si>
  <si>
    <t>h9</t>
  </si>
  <si>
    <t>j5</t>
  </si>
  <si>
    <t>j6</t>
  </si>
  <si>
    <t>j7</t>
  </si>
  <si>
    <t>js5</t>
  </si>
  <si>
    <t>js6</t>
  </si>
  <si>
    <t>js7</t>
  </si>
  <si>
    <t>k5</t>
  </si>
  <si>
    <t>k6</t>
  </si>
  <si>
    <t>k7</t>
  </si>
  <si>
    <t>m5</t>
  </si>
  <si>
    <t>m6</t>
  </si>
  <si>
    <t>m7</t>
  </si>
  <si>
    <t>n5</t>
  </si>
  <si>
    <t>n6</t>
  </si>
  <si>
    <t>n7</t>
  </si>
  <si>
    <t>p5</t>
  </si>
  <si>
    <t>p6</t>
  </si>
  <si>
    <t>Tolerance list</t>
  </si>
  <si>
    <t>oveQ</t>
  </si>
  <si>
    <t>q6</t>
  </si>
  <si>
    <t>LL</t>
  </si>
  <si>
    <t>UL</t>
  </si>
  <si>
    <t>UPPER LIMIT</t>
  </si>
  <si>
    <t>LOWER LIMIT</t>
  </si>
  <si>
    <t>ISO Tolerances for Shafts (ISO 286-2)</t>
  </si>
  <si>
    <t>micrometres</t>
  </si>
  <si>
    <t>Upper limit</t>
  </si>
  <si>
    <t>Lower Limit</t>
  </si>
  <si>
    <t>Dia Tol</t>
  </si>
  <si>
    <t>Scale</t>
  </si>
  <si>
    <t>Dimlfac</t>
  </si>
  <si>
    <t>ScaleFactor</t>
  </si>
  <si>
    <t>Shaft Scale</t>
  </si>
  <si>
    <t>Sections Scale</t>
  </si>
  <si>
    <t>Selected shaft scale:</t>
  </si>
  <si>
    <t>Selected section scale:</t>
  </si>
  <si>
    <t>h10</t>
  </si>
  <si>
    <t>h11</t>
  </si>
  <si>
    <t>h12</t>
  </si>
  <si>
    <t>Tolerance</t>
  </si>
  <si>
    <t>Bearing relief?(Yes/Blank)</t>
  </si>
  <si>
    <t>1:2</t>
  </si>
  <si>
    <t>NA</t>
  </si>
  <si>
    <t>HELICAL</t>
  </si>
  <si>
    <t>SPUR</t>
  </si>
  <si>
    <t>Is this step a Pinion?</t>
  </si>
  <si>
    <t>Enter data:</t>
  </si>
  <si>
    <t>Number of teeth</t>
  </si>
  <si>
    <t>Major diameter</t>
  </si>
  <si>
    <t>Minor diameter</t>
  </si>
  <si>
    <t>Circular</t>
  </si>
  <si>
    <t>O-ring</t>
  </si>
  <si>
    <t>Circlip Normal</t>
  </si>
  <si>
    <t>Circlip Heavy</t>
  </si>
  <si>
    <t>Circlip Groove Normal</t>
  </si>
  <si>
    <t>Circlip Groove Heavy</t>
  </si>
  <si>
    <r>
      <rPr>
        <b/>
        <sz val="12"/>
        <rFont val="Cambria"/>
        <family val="1"/>
      </rPr>
      <t xml:space="preserve">Shaft Dia, </t>
    </r>
    <r>
      <rPr>
        <b/>
        <i/>
        <sz val="12"/>
        <rFont val="Cambria"/>
        <family val="1"/>
      </rPr>
      <t>d</t>
    </r>
    <r>
      <rPr>
        <b/>
        <vertAlign val="subscript"/>
        <sz val="12"/>
        <rFont val="Cambria"/>
        <family val="1"/>
      </rPr>
      <t>1</t>
    </r>
  </si>
  <si>
    <r>
      <rPr>
        <sz val="12"/>
        <color theme="1"/>
        <rFont val="Calibri"/>
        <family val="2"/>
        <scheme val="minor"/>
      </rPr>
      <t>Groove</t>
    </r>
  </si>
  <si>
    <r>
      <rPr>
        <b/>
        <sz val="12"/>
        <rFont val="Calibri"/>
        <family val="2"/>
        <scheme val="minor"/>
      </rPr>
      <t xml:space="preserve">Shaft Dia, </t>
    </r>
    <r>
      <rPr>
        <b/>
        <i/>
        <sz val="12"/>
        <rFont val="Calibri"/>
        <family val="2"/>
        <scheme val="minor"/>
      </rPr>
      <t>d</t>
    </r>
    <r>
      <rPr>
        <b/>
        <vertAlign val="subscript"/>
        <sz val="12"/>
        <rFont val="Calibri"/>
        <family val="2"/>
        <scheme val="minor"/>
      </rPr>
      <t>1</t>
    </r>
  </si>
  <si>
    <r>
      <rPr>
        <i/>
        <sz val="12"/>
        <rFont val="Cambria"/>
        <family val="1"/>
      </rPr>
      <t>d</t>
    </r>
    <r>
      <rPr>
        <vertAlign val="subscript"/>
        <sz val="12"/>
        <rFont val="Cambria"/>
        <family val="1"/>
      </rPr>
      <t>2</t>
    </r>
    <r>
      <rPr>
        <sz val="12"/>
        <rFont val="Cambria"/>
        <family val="1"/>
      </rPr>
      <t>†</t>
    </r>
  </si>
  <si>
    <r>
      <rPr>
        <i/>
        <sz val="12"/>
        <rFont val="Cambria"/>
        <family val="1"/>
      </rPr>
      <t>m</t>
    </r>
    <r>
      <rPr>
        <sz val="12"/>
        <rFont val="Cambria"/>
        <family val="1"/>
      </rPr>
      <t>‡
H13</t>
    </r>
  </si>
  <si>
    <r>
      <rPr>
        <sz val="12"/>
        <color theme="1"/>
        <rFont val="Calibri"/>
        <family val="2"/>
        <scheme val="minor"/>
      </rPr>
      <t>Size</t>
    </r>
  </si>
  <si>
    <r>
      <rPr>
        <sz val="12"/>
        <rFont val="Calibri"/>
        <family val="2"/>
        <scheme val="minor"/>
      </rPr>
      <t>0
– 0.04
(h10)</t>
    </r>
  </si>
  <si>
    <r>
      <rPr>
        <sz val="12"/>
        <rFont val="Calibri"/>
        <family val="2"/>
        <scheme val="minor"/>
      </rPr>
      <t>0
– 0.11
(h 11)</t>
    </r>
  </si>
  <si>
    <r>
      <rPr>
        <sz val="12"/>
        <rFont val="Calibri"/>
        <family val="2"/>
        <scheme val="minor"/>
      </rPr>
      <t>0
– 0.048
(h10)</t>
    </r>
  </si>
  <si>
    <r>
      <rPr>
        <sz val="12"/>
        <rFont val="Calibri"/>
        <family val="2"/>
        <scheme val="minor"/>
      </rPr>
      <t>0
– 0.06
(h10)</t>
    </r>
  </si>
  <si>
    <r>
      <rPr>
        <sz val="12"/>
        <rFont val="Calibri"/>
        <family val="2"/>
        <scheme val="minor"/>
      </rPr>
      <t>0
– 0.13
(h 11)</t>
    </r>
  </si>
  <si>
    <r>
      <rPr>
        <sz val="12"/>
        <rFont val="Calibri"/>
        <family val="2"/>
        <scheme val="minor"/>
      </rPr>
      <t>0
– 0.21
(h 12)</t>
    </r>
  </si>
  <si>
    <r>
      <rPr>
        <sz val="12"/>
        <rFont val="Calibri"/>
        <family val="2"/>
        <scheme val="minor"/>
      </rPr>
      <t>0
– 0.11
(h11)</t>
    </r>
  </si>
  <si>
    <r>
      <rPr>
        <sz val="12"/>
        <rFont val="Calibri"/>
        <family val="2"/>
        <scheme val="minor"/>
      </rPr>
      <t>0
– 0.25
(h 12)</t>
    </r>
  </si>
  <si>
    <r>
      <rPr>
        <sz val="12"/>
        <rFont val="Calibri"/>
        <family val="2"/>
        <scheme val="minor"/>
      </rPr>
      <t>0
– 0.13
(h11)</t>
    </r>
  </si>
  <si>
    <r>
      <rPr>
        <sz val="12"/>
        <rFont val="Calibri"/>
        <family val="2"/>
        <scheme val="minor"/>
      </rPr>
      <t>0
– 0.21
(h12)</t>
    </r>
  </si>
  <si>
    <r>
      <rPr>
        <sz val="12"/>
        <rFont val="Calibri"/>
        <family val="2"/>
        <scheme val="minor"/>
      </rPr>
      <t>0
– 0.30
(h 12)</t>
    </r>
  </si>
  <si>
    <r>
      <rPr>
        <sz val="12"/>
        <rFont val="Calibri"/>
        <family val="2"/>
        <scheme val="minor"/>
      </rPr>
      <t>0
– 0.25
(h12)</t>
    </r>
  </si>
  <si>
    <r>
      <rPr>
        <sz val="12"/>
        <rFont val="Calibri"/>
        <family val="2"/>
        <scheme val="minor"/>
      </rPr>
      <t>0
– 0.35
(h 12)</t>
    </r>
  </si>
  <si>
    <r>
      <rPr>
        <sz val="12"/>
        <rFont val="Calibri"/>
        <family val="2"/>
        <scheme val="minor"/>
      </rPr>
      <t>0
– 0.30
(h12)</t>
    </r>
  </si>
  <si>
    <r>
      <rPr>
        <sz val="12"/>
        <rFont val="Calibri"/>
        <family val="2"/>
        <scheme val="minor"/>
      </rPr>
      <t>0
– 0.3
(h 12)</t>
    </r>
  </si>
  <si>
    <r>
      <rPr>
        <sz val="12"/>
        <rFont val="Calibri"/>
        <family val="2"/>
        <scheme val="minor"/>
      </rPr>
      <t>0
– 0.54
(h 13)</t>
    </r>
  </si>
  <si>
    <r>
      <rPr>
        <sz val="12"/>
        <rFont val="Calibri"/>
        <family val="2"/>
        <scheme val="minor"/>
      </rPr>
      <t>0
– 0.63
(h 13)</t>
    </r>
  </si>
  <si>
    <r>
      <rPr>
        <sz val="12"/>
        <rFont val="Calibri"/>
        <family val="2"/>
        <scheme val="minor"/>
      </rPr>
      <t>0
– 0.72
(h 13)</t>
    </r>
  </si>
  <si>
    <r>
      <rPr>
        <sz val="12"/>
        <rFont val="Calibri"/>
        <family val="2"/>
        <scheme val="minor"/>
      </rPr>
      <t>0
– 0.81
(h 13)</t>
    </r>
  </si>
  <si>
    <t>1:2.5</t>
  </si>
  <si>
    <t>Details Scale</t>
  </si>
  <si>
    <t>2:1</t>
  </si>
  <si>
    <t>5:1</t>
  </si>
  <si>
    <t>Selected Details scale:</t>
  </si>
  <si>
    <t>Internal / External</t>
  </si>
  <si>
    <t>Internal/External</t>
  </si>
  <si>
    <t>Is this step a Spline?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</si>
</sst>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3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name val="新細明體"/>
      <family val="1"/>
      <charset val="136"/>
    </font>
    <font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sz val="12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Arial Unicode MS"/>
      <family val="2"/>
      <charset val="128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FFFFFF"/>
      <name val="Verdana"/>
      <family val="2"/>
    </font>
    <font>
      <b/>
      <sz val="10"/>
      <color rgb="FF000080"/>
      <name val="Verdana"/>
      <family val="2"/>
    </font>
    <font>
      <sz val="7.5"/>
      <color rgb="FF000080"/>
      <name val="Verdana"/>
      <family val="2"/>
    </font>
    <font>
      <sz val="11"/>
      <color theme="0" tint="-0.1499984740745262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mbria"/>
      <family val="1"/>
    </font>
    <font>
      <b/>
      <i/>
      <sz val="12"/>
      <name val="Cambria"/>
      <family val="1"/>
    </font>
    <font>
      <b/>
      <vertAlign val="subscript"/>
      <sz val="12"/>
      <name val="Cambria"/>
      <family val="1"/>
    </font>
    <font>
      <b/>
      <i/>
      <sz val="12"/>
      <name val="Calibri"/>
      <family val="2"/>
      <scheme val="minor"/>
    </font>
    <font>
      <b/>
      <vertAlign val="subscript"/>
      <sz val="12"/>
      <name val="Calibri"/>
      <family val="2"/>
      <scheme val="minor"/>
    </font>
    <font>
      <i/>
      <sz val="12"/>
      <name val="Cambria"/>
      <family val="1"/>
    </font>
    <font>
      <vertAlign val="subscript"/>
      <sz val="12"/>
      <name val="Cambria"/>
      <family val="1"/>
    </font>
    <font>
      <sz val="12"/>
      <name val="Cambria"/>
      <family val="1"/>
    </font>
    <font>
      <i/>
      <sz val="12"/>
      <name val="Calibri"/>
      <family val="2"/>
      <scheme val="minor"/>
    </font>
    <font>
      <sz val="12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FF00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2" fillId="0" borderId="0"/>
    <xf numFmtId="0" fontId="3" fillId="0" borderId="0">
      <alignment vertical="center"/>
    </xf>
  </cellStyleXfs>
  <cellXfs count="305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8" xfId="0" applyBorder="1"/>
    <xf numFmtId="0" fontId="0" fillId="0" borderId="10" xfId="0" applyBorder="1" applyAlignment="1">
      <alignment horizontal="center"/>
    </xf>
    <xf numFmtId="0" fontId="0" fillId="0" borderId="11" xfId="0" applyBorder="1"/>
    <xf numFmtId="0" fontId="1" fillId="0" borderId="0" xfId="0" applyFont="1"/>
    <xf numFmtId="0" fontId="1" fillId="0" borderId="3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1" fillId="0" borderId="6" xfId="0" applyFont="1" applyBorder="1" applyAlignment="1">
      <alignment horizontal="right"/>
    </xf>
    <xf numFmtId="0" fontId="1" fillId="0" borderId="8" xfId="0" applyFont="1" applyBorder="1" applyAlignment="1">
      <alignment horizontal="right"/>
    </xf>
    <xf numFmtId="0" fontId="1" fillId="0" borderId="2" xfId="0" applyFont="1" applyBorder="1"/>
    <xf numFmtId="0" fontId="1" fillId="0" borderId="5" xfId="0" applyFont="1" applyBorder="1"/>
    <xf numFmtId="0" fontId="4" fillId="0" borderId="0" xfId="1" applyFont="1" applyProtection="1"/>
    <xf numFmtId="0" fontId="5" fillId="0" borderId="5" xfId="0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0" fontId="0" fillId="2" borderId="1" xfId="0" applyFill="1" applyBorder="1" applyProtection="1">
      <protection locked="0"/>
    </xf>
    <xf numFmtId="0" fontId="5" fillId="0" borderId="0" xfId="0" applyFont="1" applyBorder="1" applyAlignment="1">
      <alignment horizontal="center"/>
    </xf>
    <xf numFmtId="0" fontId="0" fillId="0" borderId="1" xfId="0" applyBorder="1"/>
    <xf numFmtId="0" fontId="0" fillId="0" borderId="19" xfId="0" applyBorder="1"/>
    <xf numFmtId="0" fontId="5" fillId="0" borderId="20" xfId="0" applyFont="1" applyBorder="1"/>
    <xf numFmtId="0" fontId="0" fillId="0" borderId="20" xfId="0" applyBorder="1"/>
    <xf numFmtId="0" fontId="5" fillId="0" borderId="20" xfId="0" applyFont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0" fillId="0" borderId="22" xfId="0" applyBorder="1"/>
    <xf numFmtId="0" fontId="5" fillId="0" borderId="1" xfId="0" applyFont="1" applyBorder="1"/>
    <xf numFmtId="0" fontId="6" fillId="0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0" fontId="7" fillId="0" borderId="1" xfId="0" applyFont="1" applyFill="1" applyBorder="1"/>
    <xf numFmtId="0" fontId="7" fillId="2" borderId="1" xfId="0" applyFont="1" applyFill="1" applyBorder="1" applyAlignment="1" applyProtection="1">
      <alignment horizontal="center"/>
      <protection locked="0"/>
    </xf>
    <xf numFmtId="0" fontId="7" fillId="0" borderId="1" xfId="0" applyFont="1" applyBorder="1"/>
    <xf numFmtId="0" fontId="8" fillId="0" borderId="1" xfId="0" applyFont="1" applyFill="1" applyBorder="1" applyAlignment="1">
      <alignment horizontal="center"/>
    </xf>
    <xf numFmtId="0" fontId="5" fillId="0" borderId="1" xfId="0" applyFont="1" applyFill="1" applyBorder="1"/>
    <xf numFmtId="0" fontId="7" fillId="3" borderId="1" xfId="0" applyFont="1" applyFill="1" applyBorder="1" applyAlignment="1">
      <alignment horizontal="center"/>
    </xf>
    <xf numFmtId="0" fontId="7" fillId="0" borderId="0" xfId="0" applyFont="1" applyFill="1" applyBorder="1"/>
    <xf numFmtId="0" fontId="7" fillId="0" borderId="0" xfId="0" applyFont="1" applyFill="1" applyBorder="1" applyAlignment="1">
      <alignment horizontal="center"/>
    </xf>
    <xf numFmtId="0" fontId="9" fillId="2" borderId="1" xfId="0" applyFont="1" applyFill="1" applyBorder="1" applyAlignment="1" applyProtection="1">
      <alignment horizontal="center"/>
      <protection locked="0"/>
    </xf>
    <xf numFmtId="0" fontId="9" fillId="2" borderId="23" xfId="0" applyFont="1" applyFill="1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7" fillId="0" borderId="15" xfId="0" applyFont="1" applyFill="1" applyBorder="1" applyAlignment="1">
      <alignment horizontal="left"/>
    </xf>
    <xf numFmtId="0" fontId="0" fillId="0" borderId="14" xfId="0" applyBorder="1" applyAlignment="1">
      <alignment horizontal="left"/>
    </xf>
    <xf numFmtId="0" fontId="7" fillId="3" borderId="1" xfId="0" applyFont="1" applyFill="1" applyBorder="1" applyAlignment="1">
      <alignment horizontal="center" vertical="center"/>
    </xf>
    <xf numFmtId="0" fontId="0" fillId="0" borderId="24" xfId="0" applyBorder="1"/>
    <xf numFmtId="0" fontId="5" fillId="0" borderId="25" xfId="0" applyFont="1" applyBorder="1"/>
    <xf numFmtId="0" fontId="0" fillId="0" borderId="25" xfId="0" applyBorder="1"/>
    <xf numFmtId="0" fontId="5" fillId="0" borderId="5" xfId="0" applyFont="1" applyBorder="1" applyAlignment="1">
      <alignment horizontal="center" wrapText="1"/>
    </xf>
    <xf numFmtId="0" fontId="11" fillId="0" borderId="19" xfId="0" applyFont="1" applyFill="1" applyBorder="1" applyAlignment="1">
      <alignment horizontal="left"/>
    </xf>
    <xf numFmtId="0" fontId="11" fillId="0" borderId="20" xfId="0" applyFont="1" applyFill="1" applyBorder="1" applyAlignment="1">
      <alignment horizontal="left"/>
    </xf>
    <xf numFmtId="0" fontId="11" fillId="0" borderId="21" xfId="0" applyFont="1" applyFill="1" applyBorder="1" applyAlignment="1">
      <alignment horizontal="left"/>
    </xf>
    <xf numFmtId="0" fontId="11" fillId="0" borderId="0" xfId="0" applyFont="1" applyFill="1" applyBorder="1" applyAlignment="1">
      <alignment horizontal="left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9" fillId="0" borderId="1" xfId="0" applyFont="1" applyFill="1" applyBorder="1"/>
    <xf numFmtId="0" fontId="8" fillId="0" borderId="22" xfId="0" applyFont="1" applyFill="1" applyBorder="1" applyAlignment="1">
      <alignment horizontal="left"/>
    </xf>
    <xf numFmtId="0" fontId="8" fillId="0" borderId="1" xfId="0" applyFont="1" applyFill="1" applyBorder="1" applyAlignment="1">
      <alignment horizontal="left"/>
    </xf>
    <xf numFmtId="0" fontId="7" fillId="0" borderId="15" xfId="0" applyFont="1" applyFill="1" applyBorder="1"/>
    <xf numFmtId="0" fontId="7" fillId="0" borderId="14" xfId="0" applyFont="1" applyFill="1" applyBorder="1"/>
    <xf numFmtId="0" fontId="7" fillId="0" borderId="1" xfId="0" applyFont="1" applyFill="1" applyBorder="1" applyAlignment="1">
      <alignment horizontal="center" vertical="center"/>
    </xf>
    <xf numFmtId="0" fontId="7" fillId="0" borderId="15" xfId="0" applyFont="1" applyFill="1" applyBorder="1" applyAlignment="1">
      <alignment horizontal="left" vertical="center"/>
    </xf>
    <xf numFmtId="0" fontId="7" fillId="0" borderId="14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horizontal="left" vertical="center"/>
    </xf>
    <xf numFmtId="0" fontId="7" fillId="0" borderId="9" xfId="0" applyFont="1" applyFill="1" applyBorder="1" applyAlignment="1">
      <alignment horizontal="left" vertical="center"/>
    </xf>
    <xf numFmtId="0" fontId="0" fillId="0" borderId="1" xfId="0" applyNumberFormat="1" applyBorder="1" applyAlignment="1">
      <alignment horizontal="center"/>
    </xf>
    <xf numFmtId="0" fontId="0" fillId="0" borderId="23" xfId="0" applyNumberFormat="1" applyBorder="1" applyAlignment="1">
      <alignment horizontal="center"/>
    </xf>
    <xf numFmtId="0" fontId="0" fillId="0" borderId="31" xfId="0" applyBorder="1" applyAlignment="1">
      <alignment horizontal="center"/>
    </xf>
    <xf numFmtId="0" fontId="1" fillId="0" borderId="28" xfId="0" applyFont="1" applyFill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" fillId="0" borderId="1" xfId="0" applyFont="1" applyFill="1" applyBorder="1" applyAlignment="1">
      <alignment horizontal="center" wrapText="1"/>
    </xf>
    <xf numFmtId="0" fontId="8" fillId="0" borderId="12" xfId="0" applyFont="1" applyFill="1" applyBorder="1" applyAlignment="1">
      <alignment horizontal="left"/>
    </xf>
    <xf numFmtId="0" fontId="8" fillId="0" borderId="12" xfId="0" applyFont="1" applyFill="1" applyBorder="1" applyAlignment="1">
      <alignment horizontal="center"/>
    </xf>
    <xf numFmtId="0" fontId="0" fillId="2" borderId="12" xfId="0" applyFill="1" applyBorder="1" applyAlignment="1" applyProtection="1">
      <alignment horizontal="center"/>
      <protection locked="0"/>
    </xf>
    <xf numFmtId="0" fontId="0" fillId="2" borderId="32" xfId="0" applyFill="1" applyBorder="1" applyAlignment="1" applyProtection="1">
      <alignment horizontal="center"/>
      <protection locked="0"/>
    </xf>
    <xf numFmtId="0" fontId="8" fillId="0" borderId="11" xfId="0" applyFont="1" applyFill="1" applyBorder="1" applyAlignment="1">
      <alignment horizontal="left"/>
    </xf>
    <xf numFmtId="0" fontId="8" fillId="0" borderId="11" xfId="0" applyFont="1" applyFill="1" applyBorder="1" applyAlignment="1">
      <alignment horizontal="center"/>
    </xf>
    <xf numFmtId="0" fontId="14" fillId="0" borderId="1" xfId="0" applyFont="1" applyFill="1" applyBorder="1" applyAlignment="1">
      <alignment horizontal="left"/>
    </xf>
    <xf numFmtId="0" fontId="15" fillId="0" borderId="0" xfId="0" applyFont="1" applyBorder="1"/>
    <xf numFmtId="0" fontId="15" fillId="0" borderId="1" xfId="0" applyFont="1" applyBorder="1" applyAlignment="1">
      <alignment horizontal="center"/>
    </xf>
    <xf numFmtId="0" fontId="15" fillId="0" borderId="23" xfId="0" applyFont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8" fillId="2" borderId="1" xfId="0" applyFont="1" applyFill="1" applyBorder="1" applyAlignment="1" applyProtection="1">
      <alignment horizontal="left"/>
      <protection locked="0"/>
    </xf>
    <xf numFmtId="0" fontId="0" fillId="0" borderId="0" xfId="0" applyBorder="1" applyAlignment="1"/>
    <xf numFmtId="0" fontId="8" fillId="0" borderId="1" xfId="0" applyFont="1" applyFill="1" applyBorder="1" applyAlignment="1">
      <alignment horizontal="center" vertical="center"/>
    </xf>
    <xf numFmtId="0" fontId="8" fillId="0" borderId="24" xfId="0" applyFont="1" applyFill="1" applyBorder="1" applyAlignment="1">
      <alignment horizontal="left"/>
    </xf>
    <xf numFmtId="0" fontId="8" fillId="0" borderId="25" xfId="0" applyFont="1" applyFill="1" applyBorder="1" applyAlignment="1">
      <alignment horizontal="left"/>
    </xf>
    <xf numFmtId="0" fontId="8" fillId="0" borderId="25" xfId="0" applyFont="1" applyFill="1" applyBorder="1" applyAlignment="1">
      <alignment horizontal="center"/>
    </xf>
    <xf numFmtId="0" fontId="5" fillId="0" borderId="19" xfId="0" applyFont="1" applyBorder="1"/>
    <xf numFmtId="0" fontId="16" fillId="0" borderId="22" xfId="0" applyFont="1" applyBorder="1"/>
    <xf numFmtId="0" fontId="16" fillId="0" borderId="1" xfId="0" applyFont="1" applyBorder="1"/>
    <xf numFmtId="0" fontId="16" fillId="0" borderId="1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0" fillId="0" borderId="22" xfId="0" applyBorder="1" applyAlignment="1"/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5" xfId="0" applyBorder="1" applyAlignment="1">
      <alignment horizontal="center"/>
    </xf>
    <xf numFmtId="0" fontId="5" fillId="0" borderId="0" xfId="0" applyFont="1"/>
    <xf numFmtId="0" fontId="12" fillId="0" borderId="0" xfId="0" applyFont="1"/>
    <xf numFmtId="0" fontId="9" fillId="0" borderId="0" xfId="0" applyFont="1"/>
    <xf numFmtId="0" fontId="15" fillId="0" borderId="0" xfId="0" applyFont="1"/>
    <xf numFmtId="0" fontId="15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15" xfId="0" applyNumberFormat="1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8" fillId="0" borderId="0" xfId="0" applyFont="1" applyFill="1" applyBorder="1" applyAlignment="1">
      <alignment horizontal="left"/>
    </xf>
    <xf numFmtId="0" fontId="7" fillId="0" borderId="1" xfId="0" applyFont="1" applyFill="1" applyBorder="1" applyAlignment="1" applyProtection="1">
      <alignment horizontal="center"/>
      <protection locked="0"/>
    </xf>
    <xf numFmtId="0" fontId="17" fillId="0" borderId="1" xfId="0" applyFont="1" applyBorder="1"/>
    <xf numFmtId="0" fontId="0" fillId="0" borderId="1" xfId="0" quotePrefix="1" applyBorder="1"/>
    <xf numFmtId="0" fontId="7" fillId="0" borderId="0" xfId="0" applyFont="1" applyFill="1" applyBorder="1" applyAlignment="1">
      <alignment horizontal="left"/>
    </xf>
    <xf numFmtId="0" fontId="0" fillId="0" borderId="1" xfId="0" applyFill="1" applyBorder="1"/>
    <xf numFmtId="0" fontId="5" fillId="0" borderId="35" xfId="0" applyFont="1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" xfId="0" applyBorder="1"/>
    <xf numFmtId="0" fontId="0" fillId="0" borderId="39" xfId="0" applyBorder="1"/>
    <xf numFmtId="0" fontId="0" fillId="0" borderId="0" xfId="0" applyNumberFormat="1" applyBorder="1"/>
    <xf numFmtId="49" fontId="0" fillId="0" borderId="40" xfId="0" applyNumberFormat="1" applyBorder="1"/>
    <xf numFmtId="0" fontId="0" fillId="0" borderId="28" xfId="0" applyBorder="1"/>
    <xf numFmtId="0" fontId="0" fillId="0" borderId="31" xfId="0" applyBorder="1" applyAlignment="1">
      <alignment horizontal="right"/>
    </xf>
    <xf numFmtId="0" fontId="0" fillId="0" borderId="30" xfId="0" applyBorder="1"/>
    <xf numFmtId="0" fontId="0" fillId="0" borderId="41" xfId="0" applyBorder="1" applyAlignment="1">
      <alignment horizontal="right"/>
    </xf>
    <xf numFmtId="0" fontId="0" fillId="0" borderId="40" xfId="0" applyBorder="1"/>
    <xf numFmtId="0" fontId="7" fillId="0" borderId="0" xfId="0" applyFont="1" applyFill="1" applyBorder="1" applyAlignment="1">
      <alignment horizontal="left" vertical="center"/>
    </xf>
    <xf numFmtId="0" fontId="0" fillId="0" borderId="42" xfId="0" applyBorder="1"/>
    <xf numFmtId="0" fontId="7" fillId="0" borderId="43" xfId="0" applyFont="1" applyFill="1" applyBorder="1" applyAlignment="1">
      <alignment horizontal="left" vertical="center"/>
    </xf>
    <xf numFmtId="0" fontId="0" fillId="0" borderId="43" xfId="0" applyBorder="1"/>
    <xf numFmtId="0" fontId="0" fillId="0" borderId="44" xfId="0" applyBorder="1"/>
    <xf numFmtId="0" fontId="0" fillId="0" borderId="0" xfId="0" applyFont="1" applyFill="1"/>
    <xf numFmtId="0" fontId="0" fillId="0" borderId="0" xfId="0" applyFont="1" applyFill="1" applyBorder="1"/>
    <xf numFmtId="0" fontId="20" fillId="5" borderId="1" xfId="0" applyFont="1" applyFill="1" applyBorder="1" applyAlignment="1">
      <alignment horizontal="center" wrapText="1"/>
    </xf>
    <xf numFmtId="0" fontId="22" fillId="4" borderId="1" xfId="0" applyFont="1" applyFill="1" applyBorder="1" applyAlignment="1">
      <alignment horizontal="center" wrapText="1"/>
    </xf>
    <xf numFmtId="0" fontId="22" fillId="7" borderId="1" xfId="0" applyFont="1" applyFill="1" applyBorder="1" applyAlignment="1">
      <alignment horizontal="center" wrapText="1"/>
    </xf>
    <xf numFmtId="0" fontId="20" fillId="5" borderId="1" xfId="0" applyFont="1" applyFill="1" applyBorder="1" applyAlignment="1">
      <alignment horizontal="center" wrapText="1"/>
    </xf>
    <xf numFmtId="0" fontId="0" fillId="0" borderId="0" xfId="0" applyFont="1"/>
    <xf numFmtId="0" fontId="0" fillId="0" borderId="0" xfId="0" applyFont="1" applyBorder="1" applyAlignment="1">
      <alignment horizontal="right"/>
    </xf>
    <xf numFmtId="0" fontId="0" fillId="0" borderId="0" xfId="0" applyFont="1" applyBorder="1"/>
    <xf numFmtId="0" fontId="0" fillId="0" borderId="8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10" xfId="0" applyFont="1" applyBorder="1"/>
    <xf numFmtId="0" fontId="0" fillId="0" borderId="2" xfId="0" applyFont="1" applyBorder="1"/>
    <xf numFmtId="0" fontId="0" fillId="0" borderId="11" xfId="0" applyFont="1" applyBorder="1"/>
    <xf numFmtId="0" fontId="0" fillId="0" borderId="5" xfId="0" applyFont="1" applyBorder="1"/>
    <xf numFmtId="0" fontId="0" fillId="0" borderId="12" xfId="0" applyFont="1" applyBorder="1"/>
    <xf numFmtId="0" fontId="0" fillId="0" borderId="7" xfId="0" applyFont="1" applyBorder="1"/>
    <xf numFmtId="0" fontId="4" fillId="0" borderId="0" xfId="1" applyFont="1" applyAlignment="1" applyProtection="1">
      <alignment horizontal="center"/>
    </xf>
    <xf numFmtId="0" fontId="2" fillId="0" borderId="0" xfId="1" applyFont="1" applyProtection="1"/>
    <xf numFmtId="0" fontId="2" fillId="0" borderId="0" xfId="1" applyFont="1" applyProtection="1">
      <protection locked="0"/>
    </xf>
    <xf numFmtId="0" fontId="20" fillId="5" borderId="1" xfId="0" applyFont="1" applyFill="1" applyBorder="1" applyAlignment="1">
      <alignment horizontal="center" wrapText="1"/>
    </xf>
    <xf numFmtId="0" fontId="20" fillId="5" borderId="1" xfId="0" applyFont="1" applyFill="1" applyBorder="1" applyAlignment="1">
      <alignment horizontal="center" wrapText="1"/>
    </xf>
    <xf numFmtId="0" fontId="5" fillId="0" borderId="0" xfId="0" applyFont="1" applyAlignment="1">
      <alignment horizontal="right"/>
    </xf>
    <xf numFmtId="0" fontId="20" fillId="0" borderId="0" xfId="0" applyFont="1" applyFill="1" applyBorder="1" applyAlignment="1">
      <alignment horizontal="center" wrapText="1"/>
    </xf>
    <xf numFmtId="164" fontId="0" fillId="0" borderId="0" xfId="0" applyNumberFormat="1" applyFont="1"/>
    <xf numFmtId="0" fontId="0" fillId="0" borderId="3" xfId="0" applyFont="1" applyBorder="1"/>
    <xf numFmtId="0" fontId="4" fillId="0" borderId="4" xfId="1" applyFont="1" applyFill="1" applyBorder="1" applyProtection="1"/>
    <xf numFmtId="0" fontId="4" fillId="0" borderId="6" xfId="1" applyFont="1" applyFill="1" applyBorder="1" applyProtection="1"/>
    <xf numFmtId="0" fontId="4" fillId="0" borderId="6" xfId="1" applyFont="1" applyBorder="1" applyProtection="1"/>
    <xf numFmtId="0" fontId="0" fillId="0" borderId="8" xfId="0" applyFont="1" applyBorder="1"/>
    <xf numFmtId="0" fontId="4" fillId="0" borderId="9" xfId="1" applyFont="1" applyFill="1" applyBorder="1" applyProtection="1"/>
    <xf numFmtId="0" fontId="1" fillId="0" borderId="15" xfId="0" applyFont="1" applyBorder="1" applyAlignment="1">
      <alignment horizontal="center" vertical="center"/>
    </xf>
    <xf numFmtId="0" fontId="1" fillId="0" borderId="0" xfId="0" applyFont="1" applyBorder="1"/>
    <xf numFmtId="0" fontId="0" fillId="0" borderId="4" xfId="0" applyFont="1" applyBorder="1" applyAlignment="1">
      <alignment horizontal="right"/>
    </xf>
    <xf numFmtId="0" fontId="0" fillId="0" borderId="6" xfId="0" applyFont="1" applyBorder="1" applyAlignment="1">
      <alignment horizontal="right"/>
    </xf>
    <xf numFmtId="0" fontId="1" fillId="0" borderId="7" xfId="0" applyFont="1" applyBorder="1"/>
    <xf numFmtId="0" fontId="0" fillId="0" borderId="9" xfId="0" applyFont="1" applyBorder="1" applyAlignment="1">
      <alignment horizontal="right"/>
    </xf>
    <xf numFmtId="0" fontId="0" fillId="0" borderId="2" xfId="0" applyFont="1" applyFill="1" applyBorder="1"/>
    <xf numFmtId="0" fontId="0" fillId="0" borderId="3" xfId="0" applyFont="1" applyFill="1" applyBorder="1"/>
    <xf numFmtId="0" fontId="0" fillId="0" borderId="7" xfId="0" applyFont="1" applyFill="1" applyBorder="1"/>
    <xf numFmtId="0" fontId="0" fillId="0" borderId="8" xfId="0" applyFont="1" applyFill="1" applyBorder="1"/>
    <xf numFmtId="0" fontId="0" fillId="0" borderId="4" xfId="0" applyFont="1" applyFill="1" applyBorder="1"/>
    <xf numFmtId="0" fontId="0" fillId="0" borderId="9" xfId="0" applyFont="1" applyFill="1" applyBorder="1"/>
    <xf numFmtId="0" fontId="0" fillId="0" borderId="4" xfId="0" applyFont="1" applyBorder="1"/>
    <xf numFmtId="0" fontId="0" fillId="0" borderId="6" xfId="0" applyFont="1" applyBorder="1"/>
    <xf numFmtId="0" fontId="0" fillId="0" borderId="9" xfId="0" applyFont="1" applyBorder="1"/>
    <xf numFmtId="0" fontId="0" fillId="0" borderId="0" xfId="0" applyFill="1"/>
    <xf numFmtId="0" fontId="23" fillId="0" borderId="0" xfId="0" applyFont="1"/>
    <xf numFmtId="0" fontId="1" fillId="0" borderId="2" xfId="0" applyFont="1" applyBorder="1" applyAlignment="1">
      <alignment horizontal="center" vertical="center"/>
    </xf>
    <xf numFmtId="0" fontId="1" fillId="0" borderId="14" xfId="0" applyFont="1" applyBorder="1" applyAlignment="1">
      <alignment horizontal="right"/>
    </xf>
    <xf numFmtId="0" fontId="0" fillId="0" borderId="11" xfId="0" applyFill="1" applyBorder="1"/>
    <xf numFmtId="0" fontId="0" fillId="0" borderId="10" xfId="0" applyFont="1" applyFill="1" applyBorder="1"/>
    <xf numFmtId="0" fontId="24" fillId="0" borderId="0" xfId="0" applyFont="1"/>
    <xf numFmtId="0" fontId="8" fillId="0" borderId="57" xfId="0" applyFont="1" applyFill="1" applyBorder="1" applyAlignment="1">
      <alignment horizontal="left" textRotation="90" wrapText="1"/>
    </xf>
    <xf numFmtId="1" fontId="34" fillId="0" borderId="57" xfId="0" applyNumberFormat="1" applyFont="1" applyFill="1" applyBorder="1" applyAlignment="1">
      <alignment horizontal="left" vertical="top" shrinkToFit="1"/>
    </xf>
    <xf numFmtId="165" fontId="34" fillId="0" borderId="57" xfId="0" applyNumberFormat="1" applyFont="1" applyFill="1" applyBorder="1" applyAlignment="1">
      <alignment horizontal="left" vertical="top" shrinkToFit="1"/>
    </xf>
    <xf numFmtId="0" fontId="1" fillId="0" borderId="57" xfId="0" applyFont="1" applyFill="1" applyBorder="1" applyAlignment="1">
      <alignment horizontal="left" vertical="top" wrapText="1"/>
    </xf>
    <xf numFmtId="1" fontId="34" fillId="0" borderId="57" xfId="0" applyNumberFormat="1" applyFont="1" applyFill="1" applyBorder="1" applyAlignment="1">
      <alignment horizontal="center" vertical="top" shrinkToFit="1"/>
    </xf>
    <xf numFmtId="2" fontId="34" fillId="0" borderId="57" xfId="0" applyNumberFormat="1" applyFont="1" applyFill="1" applyBorder="1" applyAlignment="1">
      <alignment horizontal="left" vertical="top" shrinkToFit="1"/>
    </xf>
    <xf numFmtId="3" fontId="34" fillId="0" borderId="57" xfId="0" applyNumberFormat="1" applyFont="1" applyFill="1" applyBorder="1" applyAlignment="1">
      <alignment horizontal="left" vertical="top" shrinkToFit="1"/>
    </xf>
    <xf numFmtId="49" fontId="0" fillId="0" borderId="5" xfId="0" applyNumberFormat="1" applyBorder="1"/>
    <xf numFmtId="0" fontId="0" fillId="0" borderId="15" xfId="0" applyFont="1" applyBorder="1"/>
    <xf numFmtId="0" fontId="0" fillId="0" borderId="13" xfId="0" applyFont="1" applyFill="1" applyBorder="1"/>
    <xf numFmtId="0" fontId="0" fillId="0" borderId="14" xfId="0" applyFont="1" applyFill="1" applyBorder="1"/>
    <xf numFmtId="0" fontId="1" fillId="0" borderId="2" xfId="0" applyFont="1" applyBorder="1" applyAlignment="1">
      <alignment horizontal="right"/>
    </xf>
    <xf numFmtId="0" fontId="1" fillId="0" borderId="5" xfId="0" applyFont="1" applyBorder="1" applyAlignment="1">
      <alignment horizontal="right"/>
    </xf>
    <xf numFmtId="0" fontId="1" fillId="0" borderId="7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0" fillId="0" borderId="11" xfId="0" applyFont="1" applyFill="1" applyBorder="1"/>
    <xf numFmtId="0" fontId="1" fillId="0" borderId="3" xfId="0" applyFont="1" applyBorder="1"/>
    <xf numFmtId="0" fontId="1" fillId="0" borderId="4" xfId="0" applyFont="1" applyBorder="1"/>
    <xf numFmtId="0" fontId="1" fillId="8" borderId="0" xfId="0" applyFont="1" applyFill="1" applyBorder="1" applyAlignment="1">
      <alignment horizontal="right"/>
    </xf>
    <xf numFmtId="0" fontId="0" fillId="8" borderId="0" xfId="0" applyFont="1" applyFill="1" applyBorder="1" applyAlignment="1">
      <alignment horizontal="right"/>
    </xf>
    <xf numFmtId="0" fontId="0" fillId="8" borderId="8" xfId="0" applyFont="1" applyFill="1" applyBorder="1" applyAlignment="1">
      <alignment horizontal="right"/>
    </xf>
    <xf numFmtId="0" fontId="1" fillId="8" borderId="8" xfId="0" applyFont="1" applyFill="1" applyBorder="1" applyAlignment="1">
      <alignment horizontal="right"/>
    </xf>
    <xf numFmtId="0" fontId="1" fillId="8" borderId="3" xfId="0" applyFont="1" applyFill="1" applyBorder="1" applyAlignment="1">
      <alignment horizontal="right"/>
    </xf>
    <xf numFmtId="0" fontId="0" fillId="0" borderId="0" xfId="0" applyBorder="1" applyAlignment="1">
      <alignment horizontal="center" wrapText="1"/>
    </xf>
    <xf numFmtId="0" fontId="1" fillId="0" borderId="51" xfId="0" applyFont="1" applyFill="1" applyBorder="1" applyAlignment="1">
      <alignment horizontal="left" vertical="top" wrapText="1"/>
    </xf>
    <xf numFmtId="0" fontId="1" fillId="0" borderId="55" xfId="0" applyFont="1" applyFill="1" applyBorder="1" applyAlignment="1">
      <alignment horizontal="left" vertical="top" wrapText="1"/>
    </xf>
    <xf numFmtId="0" fontId="1" fillId="0" borderId="56" xfId="0" applyFont="1" applyFill="1" applyBorder="1" applyAlignment="1">
      <alignment horizontal="left" vertical="top" wrapText="1"/>
    </xf>
    <xf numFmtId="0" fontId="1" fillId="0" borderId="51" xfId="0" applyFont="1" applyFill="1" applyBorder="1" applyAlignment="1">
      <alignment horizontal="left" vertical="center" wrapText="1"/>
    </xf>
    <xf numFmtId="0" fontId="1" fillId="0" borderId="55" xfId="0" applyFont="1" applyFill="1" applyBorder="1" applyAlignment="1">
      <alignment horizontal="left" vertical="center" wrapText="1"/>
    </xf>
    <xf numFmtId="0" fontId="1" fillId="0" borderId="56" xfId="0" applyFont="1" applyFill="1" applyBorder="1" applyAlignment="1">
      <alignment horizontal="left" vertical="center" wrapText="1"/>
    </xf>
    <xf numFmtId="0" fontId="1" fillId="0" borderId="51" xfId="0" applyFont="1" applyFill="1" applyBorder="1" applyAlignment="1">
      <alignment horizontal="left" textRotation="90" wrapText="1"/>
    </xf>
    <xf numFmtId="0" fontId="1" fillId="0" borderId="55" xfId="0" applyFont="1" applyFill="1" applyBorder="1" applyAlignment="1">
      <alignment horizontal="left" textRotation="90" wrapText="1"/>
    </xf>
    <xf numFmtId="0" fontId="1" fillId="0" borderId="56" xfId="0" applyFont="1" applyFill="1" applyBorder="1" applyAlignment="1">
      <alignment horizontal="left" textRotation="90" wrapText="1"/>
    </xf>
    <xf numFmtId="0" fontId="11" fillId="0" borderId="52" xfId="0" applyFont="1" applyFill="1" applyBorder="1" applyAlignment="1">
      <alignment horizontal="center" vertical="top" wrapText="1"/>
    </xf>
    <xf numFmtId="0" fontId="11" fillId="0" borderId="53" xfId="0" applyFont="1" applyFill="1" applyBorder="1" applyAlignment="1">
      <alignment horizontal="center" vertical="top" wrapText="1"/>
    </xf>
    <xf numFmtId="0" fontId="11" fillId="0" borderId="54" xfId="0" applyFont="1" applyFill="1" applyBorder="1" applyAlignment="1">
      <alignment horizontal="center" vertical="top" wrapText="1"/>
    </xf>
    <xf numFmtId="0" fontId="1" fillId="0" borderId="52" xfId="0" applyFont="1" applyFill="1" applyBorder="1" applyAlignment="1">
      <alignment horizontal="center" vertical="top" wrapText="1"/>
    </xf>
    <xf numFmtId="0" fontId="1" fillId="0" borderId="54" xfId="0" applyFont="1" applyFill="1" applyBorder="1" applyAlignment="1">
      <alignment horizontal="center" vertical="top" wrapText="1"/>
    </xf>
    <xf numFmtId="0" fontId="33" fillId="0" borderId="51" xfId="0" applyFont="1" applyFill="1" applyBorder="1" applyAlignment="1">
      <alignment horizontal="center" vertical="top" wrapText="1"/>
    </xf>
    <xf numFmtId="0" fontId="33" fillId="0" borderId="56" xfId="0" applyFont="1" applyFill="1" applyBorder="1" applyAlignment="1">
      <alignment horizontal="center" vertical="top" wrapText="1"/>
    </xf>
    <xf numFmtId="0" fontId="1" fillId="0" borderId="51" xfId="0" applyFont="1" applyFill="1" applyBorder="1" applyAlignment="1">
      <alignment horizontal="center" vertical="top" wrapText="1"/>
    </xf>
    <xf numFmtId="0" fontId="1" fillId="0" borderId="56" xfId="0" applyFont="1" applyFill="1" applyBorder="1" applyAlignment="1">
      <alignment horizontal="center" vertical="top" wrapText="1"/>
    </xf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1" fillId="0" borderId="2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33" xfId="0" applyBorder="1" applyAlignment="1">
      <alignment horizontal="center" wrapText="1"/>
    </xf>
    <xf numFmtId="0" fontId="0" fillId="0" borderId="34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23" xfId="0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0" fillId="0" borderId="15" xfId="0" applyBorder="1" applyAlignment="1">
      <alignment horizontal="center" wrapText="1"/>
    </xf>
    <xf numFmtId="0" fontId="0" fillId="0" borderId="27" xfId="0" applyBorder="1" applyAlignment="1">
      <alignment horizontal="center" wrapText="1"/>
    </xf>
    <xf numFmtId="0" fontId="0" fillId="0" borderId="22" xfId="0" applyBorder="1" applyAlignment="1">
      <alignment vertical="center"/>
    </xf>
    <xf numFmtId="0" fontId="0" fillId="0" borderId="1" xfId="0" applyBorder="1" applyAlignment="1">
      <alignment vertical="center"/>
    </xf>
    <xf numFmtId="0" fontId="5" fillId="0" borderId="16" xfId="0" applyFont="1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8" fillId="0" borderId="28" xfId="0" applyFont="1" applyFill="1" applyBorder="1" applyAlignment="1">
      <alignment horizontal="left" vertical="center"/>
    </xf>
    <xf numFmtId="0" fontId="8" fillId="0" borderId="29" xfId="0" applyFont="1" applyFill="1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15" xfId="0" applyNumberFormat="1" applyBorder="1" applyAlignment="1">
      <alignment horizontal="center" wrapText="1"/>
    </xf>
    <xf numFmtId="0" fontId="0" fillId="0" borderId="27" xfId="0" applyNumberFormat="1" applyBorder="1" applyAlignment="1">
      <alignment horizontal="center" wrapText="1"/>
    </xf>
    <xf numFmtId="0" fontId="0" fillId="2" borderId="15" xfId="0" applyFill="1" applyBorder="1" applyAlignment="1" applyProtection="1">
      <alignment horizontal="center" wrapText="1"/>
      <protection locked="0"/>
    </xf>
    <xf numFmtId="0" fontId="0" fillId="0" borderId="27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9" xfId="0" applyBorder="1" applyAlignment="1">
      <alignment horizontal="left" vertical="center"/>
    </xf>
    <xf numFmtId="0" fontId="8" fillId="0" borderId="10" xfId="0" applyFont="1" applyFill="1" applyBorder="1" applyAlignment="1">
      <alignment horizontal="left" vertical="center" wrapText="1"/>
    </xf>
    <xf numFmtId="0" fontId="8" fillId="0" borderId="11" xfId="0" applyFont="1" applyFill="1" applyBorder="1" applyAlignment="1">
      <alignment horizontal="left" vertical="center" wrapText="1"/>
    </xf>
    <xf numFmtId="0" fontId="8" fillId="0" borderId="10" xfId="0" applyFont="1" applyFill="1" applyBorder="1" applyAlignment="1">
      <alignment horizontal="center" wrapText="1"/>
    </xf>
    <xf numFmtId="0" fontId="8" fillId="0" borderId="11" xfId="0" applyFont="1" applyFill="1" applyBorder="1" applyAlignment="1">
      <alignment horizontal="center" wrapText="1"/>
    </xf>
    <xf numFmtId="0" fontId="5" fillId="0" borderId="17" xfId="0" applyFont="1" applyBorder="1" applyAlignment="1">
      <alignment horizontal="center" wrapText="1"/>
    </xf>
    <xf numFmtId="0" fontId="5" fillId="0" borderId="18" xfId="0" applyFont="1" applyBorder="1" applyAlignment="1">
      <alignment horizontal="center" wrapText="1"/>
    </xf>
    <xf numFmtId="0" fontId="0" fillId="0" borderId="1" xfId="0" applyFont="1" applyBorder="1" applyAlignment="1">
      <alignment horizontal="center" wrapText="1"/>
    </xf>
    <xf numFmtId="0" fontId="0" fillId="0" borderId="15" xfId="0" applyNumberFormat="1" applyBorder="1" applyAlignment="1">
      <alignment horizontal="center"/>
    </xf>
    <xf numFmtId="0" fontId="0" fillId="0" borderId="27" xfId="0" applyNumberFormat="1" applyBorder="1" applyAlignment="1">
      <alignment horizontal="center"/>
    </xf>
    <xf numFmtId="0" fontId="8" fillId="0" borderId="28" xfId="0" applyFont="1" applyFill="1" applyBorder="1" applyAlignment="1">
      <alignment horizontal="left" vertical="center" wrapText="1"/>
    </xf>
    <xf numFmtId="0" fontId="8" fillId="0" borderId="30" xfId="0" applyFont="1" applyFill="1" applyBorder="1" applyAlignment="1">
      <alignment horizontal="left" vertical="center" wrapText="1"/>
    </xf>
    <xf numFmtId="0" fontId="8" fillId="0" borderId="10" xfId="0" applyFont="1" applyFill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2" borderId="15" xfId="0" applyFill="1" applyBorder="1" applyAlignment="1" applyProtection="1">
      <alignment horizontal="center"/>
      <protection locked="0"/>
    </xf>
    <xf numFmtId="0" fontId="0" fillId="2" borderId="27" xfId="0" applyFill="1" applyBorder="1" applyAlignment="1" applyProtection="1">
      <alignment horizontal="center"/>
      <protection locked="0"/>
    </xf>
    <xf numFmtId="0" fontId="0" fillId="0" borderId="25" xfId="0" applyBorder="1" applyAlignment="1">
      <alignment horizontal="center" wrapText="1"/>
    </xf>
    <xf numFmtId="0" fontId="0" fillId="0" borderId="26" xfId="0" applyBorder="1" applyAlignment="1">
      <alignment horizontal="center" wrapText="1"/>
    </xf>
    <xf numFmtId="0" fontId="7" fillId="0" borderId="15" xfId="0" applyFont="1" applyFill="1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23" xfId="0" applyBorder="1" applyAlignment="1">
      <alignment horizontal="center" wrapText="1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 wrapText="1"/>
      <protection locked="0"/>
    </xf>
    <xf numFmtId="0" fontId="0" fillId="2" borderId="23" xfId="0" applyFill="1" applyBorder="1" applyAlignment="1" applyProtection="1">
      <alignment horizontal="center" wrapText="1"/>
      <protection locked="0"/>
    </xf>
    <xf numFmtId="0" fontId="9" fillId="0" borderId="25" xfId="0" applyFont="1" applyBorder="1" applyAlignment="1">
      <alignment horizontal="center" wrapText="1"/>
    </xf>
    <xf numFmtId="0" fontId="9" fillId="0" borderId="26" xfId="0" applyFont="1" applyBorder="1" applyAlignment="1">
      <alignment horizontal="center" wrapText="1"/>
    </xf>
    <xf numFmtId="0" fontId="5" fillId="0" borderId="16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16" xfId="0" applyFont="1" applyBorder="1" applyAlignment="1">
      <alignment wrapText="1"/>
    </xf>
    <xf numFmtId="0" fontId="5" fillId="0" borderId="17" xfId="0" applyFont="1" applyBorder="1" applyAlignment="1">
      <alignment wrapText="1"/>
    </xf>
    <xf numFmtId="0" fontId="5" fillId="0" borderId="18" xfId="0" applyFont="1" applyBorder="1" applyAlignment="1">
      <alignment wrapText="1"/>
    </xf>
    <xf numFmtId="0" fontId="5" fillId="2" borderId="16" xfId="0" applyFont="1" applyFill="1" applyBorder="1" applyAlignment="1" applyProtection="1">
      <alignment horizontal="center" wrapText="1"/>
      <protection locked="0"/>
    </xf>
    <xf numFmtId="0" fontId="0" fillId="2" borderId="18" xfId="0" applyFill="1" applyBorder="1" applyAlignment="1" applyProtection="1">
      <alignment horizont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9" fillId="2" borderId="1" xfId="0" applyFont="1" applyFill="1" applyBorder="1" applyAlignment="1" applyProtection="1">
      <alignment horizontal="center" wrapText="1"/>
      <protection locked="0"/>
    </xf>
    <xf numFmtId="0" fontId="9" fillId="2" borderId="23" xfId="0" applyFont="1" applyFill="1" applyBorder="1" applyAlignment="1" applyProtection="1">
      <alignment horizontal="center" wrapText="1"/>
      <protection locked="0"/>
    </xf>
    <xf numFmtId="0" fontId="20" fillId="5" borderId="45" xfId="0" applyFont="1" applyFill="1" applyBorder="1" applyAlignment="1">
      <alignment horizontal="center" wrapText="1"/>
    </xf>
    <xf numFmtId="0" fontId="20" fillId="5" borderId="46" xfId="0" applyFont="1" applyFill="1" applyBorder="1" applyAlignment="1">
      <alignment horizontal="center" wrapText="1"/>
    </xf>
    <xf numFmtId="0" fontId="20" fillId="5" borderId="47" xfId="0" applyFont="1" applyFill="1" applyBorder="1" applyAlignment="1">
      <alignment horizontal="center" wrapText="1"/>
    </xf>
    <xf numFmtId="0" fontId="21" fillId="6" borderId="48" xfId="0" applyFont="1" applyFill="1" applyBorder="1" applyAlignment="1">
      <alignment horizontal="center" wrapText="1"/>
    </xf>
    <xf numFmtId="0" fontId="21" fillId="6" borderId="50" xfId="0" applyFont="1" applyFill="1" applyBorder="1" applyAlignment="1">
      <alignment horizontal="center" wrapText="1"/>
    </xf>
    <xf numFmtId="0" fontId="21" fillId="6" borderId="49" xfId="0" applyFont="1" applyFill="1" applyBorder="1" applyAlignment="1">
      <alignment horizontal="center" wrapText="1"/>
    </xf>
    <xf numFmtId="0" fontId="21" fillId="6" borderId="10" xfId="0" applyFont="1" applyFill="1" applyBorder="1" applyAlignment="1">
      <alignment horizontal="center" wrapText="1"/>
    </xf>
    <xf numFmtId="49" fontId="20" fillId="5" borderId="1" xfId="0" applyNumberFormat="1" applyFont="1" applyFill="1" applyBorder="1" applyAlignment="1">
      <alignment horizontal="center" wrapText="1"/>
    </xf>
  </cellXfs>
  <cellStyles count="3">
    <cellStyle name="Normal" xfId="0" builtinId="0"/>
    <cellStyle name="Normal 2" xfId="2"/>
    <cellStyle name="Normal 3" xfId="1"/>
  </cellStyles>
  <dxfs count="7">
    <dxf>
      <font>
        <color theme="1"/>
      </font>
    </dxf>
    <dxf>
      <fill>
        <patternFill>
          <bgColor theme="0" tint="-0.49998474074526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1</xdr:row>
      <xdr:rowOff>76200</xdr:rowOff>
    </xdr:from>
    <xdr:to>
      <xdr:col>3</xdr:col>
      <xdr:colOff>419100</xdr:colOff>
      <xdr:row>3</xdr:row>
      <xdr:rowOff>47625</xdr:rowOff>
    </xdr:to>
    <xdr:sp macro="[0]!Autodraw_Shaft_macro" textlink="">
      <xdr:nvSpPr>
        <xdr:cNvPr id="3" name="Rectangle 2"/>
        <xdr:cNvSpPr/>
      </xdr:nvSpPr>
      <xdr:spPr>
        <a:xfrm>
          <a:off x="1066800" y="266700"/>
          <a:ext cx="118110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DRAW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1076325</xdr:colOff>
      <xdr:row>34</xdr:row>
      <xdr:rowOff>95250</xdr:rowOff>
    </xdr:from>
    <xdr:to>
      <xdr:col>12</xdr:col>
      <xdr:colOff>495300</xdr:colOff>
      <xdr:row>42</xdr:row>
      <xdr:rowOff>123825</xdr:rowOff>
    </xdr:to>
    <xdr:grpSp>
      <xdr:nvGrpSpPr>
        <xdr:cNvPr id="2" name="Group 1"/>
        <xdr:cNvGrpSpPr/>
      </xdr:nvGrpSpPr>
      <xdr:grpSpPr>
        <a:xfrm>
          <a:off x="6372225" y="6877050"/>
          <a:ext cx="4000500" cy="1628775"/>
          <a:chOff x="7715250" y="3886200"/>
          <a:chExt cx="3752850" cy="1628775"/>
        </a:xfrm>
      </xdr:grpSpPr>
      <xdr:pic>
        <xdr:nvPicPr>
          <xdr:cNvPr id="3" name="Picture 40"/>
          <xdr:cNvPicPr>
            <a:picLocks noChangeAspect="1" noChangeArrowheads="1"/>
          </xdr:cNvPicPr>
        </xdr:nvPicPr>
        <xdr:blipFill>
          <a:blip xmlns:r="http://schemas.openxmlformats.org/officeDocument/2006/relationships" r:embed="rId1"/>
          <a:srcRect t="28028" r="5373" b="31354"/>
          <a:stretch>
            <a:fillRect/>
          </a:stretch>
        </xdr:blipFill>
        <xdr:spPr bwMode="auto">
          <a:xfrm>
            <a:off x="7715250" y="3886200"/>
            <a:ext cx="3019425" cy="1628775"/>
          </a:xfrm>
          <a:prstGeom prst="rect">
            <a:avLst/>
          </a:prstGeom>
          <a:noFill/>
        </xdr:spPr>
      </xdr:pic>
      <xdr:cxnSp macro="">
        <xdr:nvCxnSpPr>
          <xdr:cNvPr id="4" name="Straight Connector 3"/>
          <xdr:cNvCxnSpPr/>
        </xdr:nvCxnSpPr>
        <xdr:spPr>
          <a:xfrm>
            <a:off x="9210675" y="5105400"/>
            <a:ext cx="2257425" cy="1588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Connector 4"/>
          <xdr:cNvCxnSpPr/>
        </xdr:nvCxnSpPr>
        <xdr:spPr>
          <a:xfrm>
            <a:off x="9210675" y="5076825"/>
            <a:ext cx="2257425" cy="1588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Arrow Connector 5"/>
          <xdr:cNvCxnSpPr/>
        </xdr:nvCxnSpPr>
        <xdr:spPr>
          <a:xfrm rot="5400000">
            <a:off x="11129963" y="4833937"/>
            <a:ext cx="485775" cy="1588"/>
          </a:xfrm>
          <a:prstGeom prst="straightConnector1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Straight Arrow Connector 6"/>
          <xdr:cNvCxnSpPr/>
        </xdr:nvCxnSpPr>
        <xdr:spPr>
          <a:xfrm rot="16200000" flipV="1">
            <a:off x="11182350" y="5286377"/>
            <a:ext cx="380209" cy="793"/>
          </a:xfrm>
          <a:prstGeom prst="straightConnector1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andeep\1_WORK%20IN%20PROGRESS\IN%20PROGRESS\Sandeep%20Jobs\AutoDraw%20PULSE%20Project\AutoDra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Keyway"/>
      <sheetName val="Tolerance"/>
      <sheetName val="Sheet2"/>
    </sheetNames>
    <sheetDataSet>
      <sheetData sheetId="0">
        <row r="4">
          <cell r="A4">
            <v>7.85</v>
          </cell>
          <cell r="X4">
            <v>180</v>
          </cell>
          <cell r="AB4">
            <v>1000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0:AI21"/>
  <sheetViews>
    <sheetView workbookViewId="0">
      <selection activeCell="H5" sqref="H5"/>
    </sheetView>
  </sheetViews>
  <sheetFormatPr defaultColWidth="8.85546875" defaultRowHeight="15"/>
  <cols>
    <col min="1" max="2" width="8.85546875" style="2"/>
    <col min="3" max="3" width="5.28515625" style="2" customWidth="1"/>
    <col min="4" max="5" width="4.7109375" style="2" customWidth="1"/>
    <col min="6" max="6" width="5.42578125" style="2" customWidth="1"/>
    <col min="7" max="16384" width="8.85546875" style="2"/>
  </cols>
  <sheetData>
    <row r="10" spans="3:35" s="3" customFormat="1">
      <c r="C10" s="208"/>
      <c r="D10" s="208"/>
      <c r="E10" s="208"/>
      <c r="F10" s="208"/>
      <c r="G10" s="208"/>
      <c r="I10" s="208"/>
      <c r="J10" s="208"/>
      <c r="K10" s="208"/>
      <c r="L10" s="208"/>
      <c r="M10" s="208"/>
      <c r="N10" s="208"/>
      <c r="O10" s="208"/>
      <c r="P10" s="208"/>
      <c r="Q10" s="208"/>
      <c r="S10" s="208"/>
      <c r="T10" s="208"/>
      <c r="U10" s="208"/>
      <c r="V10" s="208"/>
      <c r="W10" s="208"/>
      <c r="X10" s="208"/>
      <c r="Y10" s="208"/>
      <c r="Z10" s="208"/>
      <c r="AA10" s="208"/>
      <c r="AB10" s="208"/>
      <c r="AC10" s="208"/>
      <c r="AD10" s="208"/>
      <c r="AF10" s="208"/>
      <c r="AG10" s="208"/>
      <c r="AH10" s="208"/>
      <c r="AI10" s="208"/>
    </row>
    <row r="14" spans="3:35">
      <c r="E14" s="3"/>
      <c r="F14" s="3"/>
    </row>
    <row r="15" spans="3:35">
      <c r="E15" s="3"/>
      <c r="F15" s="3"/>
    </row>
    <row r="16" spans="3:35">
      <c r="E16" s="3"/>
      <c r="F16" s="3"/>
    </row>
    <row r="17" spans="5:6">
      <c r="E17" s="4"/>
      <c r="F17" s="3"/>
    </row>
    <row r="18" spans="5:6">
      <c r="E18" s="3"/>
      <c r="F18" s="3"/>
    </row>
    <row r="19" spans="5:6">
      <c r="E19" s="3"/>
      <c r="F19" s="3"/>
    </row>
    <row r="20" spans="5:6">
      <c r="E20" s="3"/>
      <c r="F20" s="3"/>
    </row>
    <row r="21" spans="5:6">
      <c r="E21" s="3"/>
      <c r="F21" s="3"/>
    </row>
  </sheetData>
  <mergeCells count="7">
    <mergeCell ref="AF10:AI10"/>
    <mergeCell ref="C10:G10"/>
    <mergeCell ref="I10:K10"/>
    <mergeCell ref="L10:Q10"/>
    <mergeCell ref="S10:T10"/>
    <mergeCell ref="U10:V10"/>
    <mergeCell ref="W10:AD10"/>
  </mergeCells>
  <dataValidations count="1">
    <dataValidation type="list" allowBlank="1" showInputMessage="1" showErrorMessage="1" sqref="W14:X21">
      <formula1>$AB$38:$AB$40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D4:W221"/>
  <sheetViews>
    <sheetView tabSelected="1" topLeftCell="B1" zoomScale="115" zoomScaleNormal="115" workbookViewId="0">
      <pane xSplit="4" ySplit="15" topLeftCell="F16" activePane="bottomRight" state="frozen"/>
      <selection activeCell="B1" sqref="B1"/>
      <selection pane="topRight" activeCell="F1" sqref="F1"/>
      <selection pane="bottomLeft" activeCell="B16" sqref="B16"/>
      <selection pane="bottomRight" activeCell="J4" sqref="J4"/>
    </sheetView>
  </sheetViews>
  <sheetFormatPr defaultColWidth="8.85546875" defaultRowHeight="15"/>
  <cols>
    <col min="1" max="3" width="8.85546875" style="138"/>
    <col min="4" max="4" width="15" style="138" bestFit="1" customWidth="1"/>
    <col min="5" max="5" width="25.140625" style="138" customWidth="1"/>
    <col min="6" max="6" width="9.7109375" style="138" customWidth="1"/>
    <col min="7" max="16384" width="8.85546875" style="138"/>
  </cols>
  <sheetData>
    <row r="4" spans="4:23">
      <c r="E4" s="138" t="s">
        <v>33</v>
      </c>
      <c r="F4" s="138">
        <v>7.85</v>
      </c>
      <c r="G4" s="138" t="s">
        <v>67</v>
      </c>
    </row>
    <row r="5" spans="4:23">
      <c r="E5" s="138" t="s">
        <v>23</v>
      </c>
      <c r="F5" s="138">
        <f>E59</f>
        <v>107.57</v>
      </c>
      <c r="G5" s="138" t="s">
        <v>68</v>
      </c>
    </row>
    <row r="6" spans="4:23">
      <c r="E6" s="138" t="s">
        <v>22</v>
      </c>
      <c r="F6" s="138" t="s">
        <v>69</v>
      </c>
    </row>
    <row r="7" spans="4:23">
      <c r="E7" t="s">
        <v>366</v>
      </c>
      <c r="F7" s="142" t="s">
        <v>375</v>
      </c>
      <c r="G7" s="179">
        <f t="shared" ref="G7:H9" si="0">K106</f>
        <v>0.5</v>
      </c>
      <c r="H7" s="179">
        <f t="shared" si="0"/>
        <v>2</v>
      </c>
      <c r="I7" s="179"/>
    </row>
    <row r="8" spans="4:23">
      <c r="E8" t="s">
        <v>367</v>
      </c>
      <c r="F8" s="142" t="s">
        <v>415</v>
      </c>
      <c r="G8" s="179">
        <f t="shared" si="0"/>
        <v>0.4</v>
      </c>
      <c r="H8" s="179">
        <f t="shared" si="0"/>
        <v>2.5</v>
      </c>
      <c r="I8" s="179"/>
    </row>
    <row r="9" spans="4:23">
      <c r="E9" t="s">
        <v>416</v>
      </c>
      <c r="F9" s="142" t="s">
        <v>418</v>
      </c>
      <c r="G9" s="179">
        <f t="shared" si="0"/>
        <v>5</v>
      </c>
      <c r="H9" s="179">
        <f t="shared" si="0"/>
        <v>0.2</v>
      </c>
    </row>
    <row r="10" spans="4:23" ht="15.75">
      <c r="D10" s="8"/>
      <c r="E10" s="164"/>
      <c r="F10" s="164" t="s">
        <v>46</v>
      </c>
      <c r="G10" s="164" t="s">
        <v>47</v>
      </c>
      <c r="H10" s="164" t="s">
        <v>48</v>
      </c>
      <c r="I10" s="164" t="s">
        <v>49</v>
      </c>
      <c r="J10" s="164" t="s">
        <v>50</v>
      </c>
      <c r="K10" s="164" t="s">
        <v>51</v>
      </c>
      <c r="L10" s="164" t="s">
        <v>52</v>
      </c>
      <c r="M10" s="164" t="s">
        <v>53</v>
      </c>
      <c r="N10" s="164" t="s">
        <v>54</v>
      </c>
      <c r="O10" s="164" t="s">
        <v>55</v>
      </c>
      <c r="P10" s="164" t="s">
        <v>56</v>
      </c>
      <c r="Q10" s="164" t="s">
        <v>57</v>
      </c>
      <c r="R10" s="164" t="s">
        <v>58</v>
      </c>
      <c r="S10" s="164" t="s">
        <v>59</v>
      </c>
      <c r="T10" s="164" t="s">
        <v>60</v>
      </c>
      <c r="U10" s="8" t="s">
        <v>62</v>
      </c>
    </row>
    <row r="11" spans="4:23" ht="15.75">
      <c r="D11" s="227" t="s">
        <v>0</v>
      </c>
      <c r="E11" s="13" t="s">
        <v>420</v>
      </c>
      <c r="F11" s="201" t="s">
        <v>195</v>
      </c>
      <c r="G11" s="201" t="s">
        <v>195</v>
      </c>
      <c r="H11" s="201" t="s">
        <v>195</v>
      </c>
      <c r="I11" s="201" t="s">
        <v>195</v>
      </c>
      <c r="J11" s="201" t="s">
        <v>195</v>
      </c>
      <c r="K11" s="201" t="s">
        <v>195</v>
      </c>
      <c r="L11" s="201" t="s">
        <v>195</v>
      </c>
      <c r="M11" s="201" t="s">
        <v>195</v>
      </c>
      <c r="N11" s="201" t="s">
        <v>197</v>
      </c>
      <c r="O11" s="201" t="s">
        <v>197</v>
      </c>
      <c r="P11" s="201" t="s">
        <v>197</v>
      </c>
      <c r="Q11" s="201"/>
      <c r="R11" s="201"/>
      <c r="S11" s="201"/>
      <c r="T11" s="201"/>
      <c r="U11" s="202"/>
    </row>
    <row r="12" spans="4:23" ht="15.75">
      <c r="D12" s="228"/>
      <c r="E12" s="14" t="s">
        <v>24</v>
      </c>
      <c r="F12" s="10">
        <v>110</v>
      </c>
      <c r="G12" s="203">
        <v>130</v>
      </c>
      <c r="H12" s="10">
        <v>160</v>
      </c>
      <c r="I12" s="10">
        <v>180</v>
      </c>
      <c r="J12" s="10">
        <v>160</v>
      </c>
      <c r="K12" s="10">
        <v>100</v>
      </c>
      <c r="L12" s="203">
        <v>80</v>
      </c>
      <c r="M12" s="10">
        <v>60</v>
      </c>
      <c r="N12" s="10">
        <v>40</v>
      </c>
      <c r="O12" s="10">
        <v>60</v>
      </c>
      <c r="P12" s="10">
        <v>30</v>
      </c>
      <c r="Q12" s="10"/>
      <c r="R12" s="10"/>
      <c r="S12" s="10"/>
      <c r="T12" s="10"/>
      <c r="U12" s="166"/>
      <c r="V12" s="140"/>
      <c r="W12" s="140"/>
    </row>
    <row r="13" spans="4:23" ht="15.75">
      <c r="D13" s="228"/>
      <c r="E13" s="14" t="s">
        <v>25</v>
      </c>
      <c r="F13" s="10">
        <v>120</v>
      </c>
      <c r="G13" s="203">
        <v>150</v>
      </c>
      <c r="H13" s="10">
        <v>100</v>
      </c>
      <c r="I13" s="10">
        <v>200</v>
      </c>
      <c r="J13" s="10">
        <v>40</v>
      </c>
      <c r="K13" s="10">
        <v>100</v>
      </c>
      <c r="L13" s="203">
        <v>90</v>
      </c>
      <c r="M13" s="10">
        <v>60</v>
      </c>
      <c r="N13" s="10">
        <v>200</v>
      </c>
      <c r="O13" s="10">
        <v>300</v>
      </c>
      <c r="P13" s="10">
        <v>360</v>
      </c>
      <c r="Q13" s="10"/>
      <c r="R13" s="10"/>
      <c r="S13" s="10"/>
      <c r="T13" s="10"/>
      <c r="U13" s="11"/>
      <c r="V13" s="140"/>
      <c r="W13" s="140"/>
    </row>
    <row r="14" spans="4:23" ht="15.75">
      <c r="D14" s="228"/>
      <c r="E14" s="14" t="s">
        <v>373</v>
      </c>
      <c r="F14" s="10" t="s">
        <v>341</v>
      </c>
      <c r="G14" s="203" t="s">
        <v>333</v>
      </c>
      <c r="H14" s="10"/>
      <c r="I14" s="10" t="s">
        <v>323</v>
      </c>
      <c r="J14" s="10"/>
      <c r="K14" s="10"/>
      <c r="L14" s="203" t="s">
        <v>344</v>
      </c>
      <c r="M14" s="10" t="s">
        <v>341</v>
      </c>
      <c r="N14" s="10"/>
      <c r="O14" s="10"/>
      <c r="P14" s="10"/>
      <c r="Q14" s="10"/>
      <c r="R14" s="10"/>
      <c r="S14" s="10"/>
      <c r="T14" s="10"/>
      <c r="U14" s="166"/>
      <c r="V14" s="140"/>
      <c r="W14" s="140"/>
    </row>
    <row r="15" spans="4:23" ht="15.75">
      <c r="D15" s="228"/>
      <c r="E15" s="14" t="s">
        <v>13</v>
      </c>
      <c r="F15" s="10"/>
      <c r="G15" s="204"/>
      <c r="H15" s="10">
        <v>3.2</v>
      </c>
      <c r="I15" s="10">
        <v>1.6</v>
      </c>
      <c r="J15" s="10"/>
      <c r="K15" s="10"/>
      <c r="L15" s="203">
        <v>0.8</v>
      </c>
      <c r="M15" s="10"/>
      <c r="N15" s="10"/>
      <c r="O15" s="10"/>
      <c r="P15" s="10"/>
      <c r="Q15" s="10"/>
      <c r="R15" s="10"/>
      <c r="S15" s="10"/>
      <c r="T15" s="10"/>
      <c r="U15" s="166"/>
      <c r="V15" s="140"/>
      <c r="W15" s="140"/>
    </row>
    <row r="16" spans="4:23" ht="15.75">
      <c r="D16" s="228"/>
      <c r="E16" s="14" t="s">
        <v>315</v>
      </c>
      <c r="F16" s="10"/>
      <c r="G16" s="204" t="s">
        <v>313</v>
      </c>
      <c r="H16" s="10"/>
      <c r="I16" s="10"/>
      <c r="J16" s="10"/>
      <c r="K16" s="10"/>
      <c r="L16" s="203" t="s">
        <v>313</v>
      </c>
      <c r="M16" s="10"/>
      <c r="N16" s="10"/>
      <c r="O16" s="10"/>
      <c r="P16" s="10"/>
      <c r="Q16" s="10"/>
      <c r="R16" s="10"/>
      <c r="S16" s="10"/>
      <c r="T16" s="10"/>
      <c r="U16" s="166"/>
      <c r="V16" s="140"/>
      <c r="W16" s="140"/>
    </row>
    <row r="17" spans="4:23" ht="15.75">
      <c r="D17" s="228"/>
      <c r="E17" s="167" t="s">
        <v>374</v>
      </c>
      <c r="F17" s="12"/>
      <c r="G17" s="205" t="s">
        <v>313</v>
      </c>
      <c r="H17" s="12"/>
      <c r="I17" s="12"/>
      <c r="J17" s="12"/>
      <c r="K17" s="12"/>
      <c r="L17" s="206" t="s">
        <v>313</v>
      </c>
      <c r="M17" s="12"/>
      <c r="N17" s="12"/>
      <c r="O17" s="12"/>
      <c r="P17" s="12"/>
      <c r="Q17" s="12"/>
      <c r="R17" s="12"/>
      <c r="S17" s="12"/>
      <c r="T17" s="12"/>
      <c r="U17" s="168"/>
      <c r="V17" s="140"/>
      <c r="W17" s="140"/>
    </row>
    <row r="18" spans="4:23" ht="15.75">
      <c r="D18" s="163" t="s">
        <v>31</v>
      </c>
      <c r="E18" s="167" t="s">
        <v>2</v>
      </c>
      <c r="F18" s="198">
        <v>120</v>
      </c>
      <c r="G18" s="206">
        <v>150</v>
      </c>
      <c r="H18" s="12">
        <v>150</v>
      </c>
      <c r="I18" s="12">
        <v>170</v>
      </c>
      <c r="J18" s="12">
        <v>150</v>
      </c>
      <c r="K18" s="12">
        <v>90</v>
      </c>
      <c r="L18" s="206">
        <v>75</v>
      </c>
      <c r="M18" s="12">
        <v>70</v>
      </c>
      <c r="N18" s="12">
        <v>50</v>
      </c>
      <c r="O18" s="12">
        <v>40</v>
      </c>
      <c r="P18" s="12"/>
      <c r="Q18" s="12"/>
      <c r="R18" s="12"/>
      <c r="S18" s="12"/>
      <c r="T18" s="12"/>
      <c r="U18" s="168"/>
      <c r="V18" s="140"/>
      <c r="W18" s="140"/>
    </row>
    <row r="19" spans="4:23" ht="15.75">
      <c r="D19" s="180" t="s">
        <v>14</v>
      </c>
      <c r="E19" s="13" t="s">
        <v>379</v>
      </c>
      <c r="F19" s="196"/>
      <c r="G19" s="207"/>
      <c r="H19" s="9"/>
      <c r="I19" s="9" t="s">
        <v>313</v>
      </c>
      <c r="J19" s="9"/>
      <c r="K19" s="9"/>
      <c r="L19" s="207"/>
      <c r="M19" s="9"/>
      <c r="N19" s="9"/>
      <c r="O19" s="9"/>
      <c r="P19" s="9"/>
      <c r="Q19" s="9"/>
      <c r="R19" s="9"/>
      <c r="S19" s="9"/>
      <c r="T19" s="9"/>
      <c r="U19" s="181"/>
      <c r="V19" s="140"/>
      <c r="W19" s="140"/>
    </row>
    <row r="20" spans="4:23" ht="15.75">
      <c r="D20" s="180" t="s">
        <v>19</v>
      </c>
      <c r="E20" s="13" t="s">
        <v>422</v>
      </c>
      <c r="F20" s="196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199"/>
      <c r="V20" s="140"/>
      <c r="W20" s="140"/>
    </row>
    <row r="21" spans="4:23" ht="15.75">
      <c r="D21" s="229" t="s">
        <v>8</v>
      </c>
      <c r="E21" s="13" t="s">
        <v>11</v>
      </c>
      <c r="F21" s="196"/>
      <c r="G21" s="9"/>
      <c r="H21" s="9" t="s">
        <v>43</v>
      </c>
      <c r="I21" s="9"/>
      <c r="J21" s="9"/>
      <c r="K21" s="9" t="s">
        <v>43</v>
      </c>
      <c r="L21" s="9"/>
      <c r="M21" s="9"/>
      <c r="N21" s="9"/>
      <c r="O21" s="9"/>
      <c r="P21" s="9"/>
      <c r="Q21" s="9"/>
      <c r="R21" s="9"/>
      <c r="S21" s="9"/>
      <c r="T21" s="9"/>
      <c r="U21" s="165"/>
      <c r="V21" s="140"/>
      <c r="W21" s="140"/>
    </row>
    <row r="22" spans="4:23" ht="15.75">
      <c r="D22" s="230"/>
      <c r="E22" s="14" t="s">
        <v>10</v>
      </c>
      <c r="F22" s="197"/>
      <c r="G22" s="10"/>
      <c r="H22" s="10" t="s">
        <v>41</v>
      </c>
      <c r="I22" s="10"/>
      <c r="J22" s="10"/>
      <c r="K22" s="10" t="s">
        <v>44</v>
      </c>
      <c r="L22" s="10"/>
      <c r="M22" s="10"/>
      <c r="N22" s="10"/>
      <c r="O22" s="10"/>
      <c r="P22" s="10"/>
      <c r="Q22" s="10"/>
      <c r="R22" s="10"/>
      <c r="S22" s="10"/>
      <c r="T22" s="10"/>
      <c r="U22" s="166"/>
      <c r="V22" s="140"/>
      <c r="W22" s="140"/>
    </row>
    <row r="23" spans="4:23" ht="15.75">
      <c r="D23" s="230"/>
      <c r="E23" s="14" t="s">
        <v>9</v>
      </c>
      <c r="F23" s="197"/>
      <c r="G23" s="10"/>
      <c r="H23" s="10">
        <v>3</v>
      </c>
      <c r="I23" s="10"/>
      <c r="J23" s="10"/>
      <c r="K23" s="10">
        <v>3</v>
      </c>
      <c r="L23" s="10"/>
      <c r="M23" s="10"/>
      <c r="N23" s="10"/>
      <c r="O23" s="10"/>
      <c r="P23" s="10"/>
      <c r="Q23" s="10"/>
      <c r="R23" s="10"/>
      <c r="S23" s="10"/>
      <c r="T23" s="10"/>
      <c r="U23" s="166"/>
      <c r="V23" s="140"/>
      <c r="W23" s="140"/>
    </row>
    <row r="24" spans="4:23" ht="15.75">
      <c r="D24" s="229" t="s">
        <v>36</v>
      </c>
      <c r="E24" s="13" t="s">
        <v>94</v>
      </c>
      <c r="F24" s="196" t="s">
        <v>37</v>
      </c>
      <c r="G24" s="9" t="s">
        <v>40</v>
      </c>
      <c r="H24" s="9"/>
      <c r="I24" s="9"/>
      <c r="J24" s="9"/>
      <c r="K24" s="9"/>
      <c r="L24" s="9" t="s">
        <v>37</v>
      </c>
      <c r="M24" s="9" t="s">
        <v>37</v>
      </c>
      <c r="N24" s="157"/>
      <c r="O24" s="9" t="s">
        <v>37</v>
      </c>
      <c r="P24" s="9"/>
      <c r="Q24" s="9"/>
      <c r="R24" s="9"/>
      <c r="S24" s="9"/>
      <c r="T24" s="9"/>
      <c r="U24" s="165"/>
      <c r="V24" s="140"/>
      <c r="W24" s="140"/>
    </row>
    <row r="25" spans="4:23" ht="15.75" customHeight="1">
      <c r="D25" s="232"/>
      <c r="E25" s="14" t="s">
        <v>38</v>
      </c>
      <c r="F25" s="197">
        <v>3</v>
      </c>
      <c r="G25" s="10">
        <v>2</v>
      </c>
      <c r="H25" s="10"/>
      <c r="I25" s="10"/>
      <c r="J25" s="10"/>
      <c r="K25" s="10"/>
      <c r="L25" s="10">
        <v>2</v>
      </c>
      <c r="M25" s="10">
        <v>3</v>
      </c>
      <c r="N25" s="140"/>
      <c r="O25" s="10">
        <v>3</v>
      </c>
      <c r="P25" s="10"/>
      <c r="Q25" s="10"/>
      <c r="R25" s="10"/>
      <c r="S25" s="10"/>
      <c r="T25" s="10"/>
      <c r="U25" s="166"/>
      <c r="V25" s="140"/>
      <c r="W25" s="140"/>
    </row>
    <row r="26" spans="4:23" ht="15.75" customHeight="1">
      <c r="D26" s="232"/>
      <c r="E26" s="14" t="s">
        <v>95</v>
      </c>
      <c r="F26" s="197" t="s">
        <v>37</v>
      </c>
      <c r="G26" s="10" t="s">
        <v>40</v>
      </c>
      <c r="H26" s="10"/>
      <c r="I26" s="10"/>
      <c r="J26" s="10"/>
      <c r="K26" s="10"/>
      <c r="L26" s="10" t="s">
        <v>37</v>
      </c>
      <c r="M26" s="10" t="s">
        <v>37</v>
      </c>
      <c r="N26" s="140"/>
      <c r="O26" s="10" t="s">
        <v>37</v>
      </c>
      <c r="P26" s="10"/>
      <c r="Q26" s="10"/>
      <c r="R26" s="10"/>
      <c r="S26" s="10"/>
      <c r="T26" s="10"/>
      <c r="U26" s="166"/>
      <c r="V26" s="140"/>
      <c r="W26" s="140"/>
    </row>
    <row r="27" spans="4:23" ht="15.75">
      <c r="D27" s="233"/>
      <c r="E27" s="167" t="s">
        <v>39</v>
      </c>
      <c r="F27" s="198">
        <v>2</v>
      </c>
      <c r="G27" s="12">
        <v>1</v>
      </c>
      <c r="H27" s="12"/>
      <c r="I27" s="12"/>
      <c r="J27" s="12"/>
      <c r="K27" s="12"/>
      <c r="L27" s="12">
        <v>2</v>
      </c>
      <c r="M27" s="12">
        <v>2</v>
      </c>
      <c r="N27" s="161"/>
      <c r="O27" s="12">
        <v>1</v>
      </c>
      <c r="P27" s="12"/>
      <c r="Q27" s="12"/>
      <c r="R27" s="12"/>
      <c r="S27" s="12"/>
      <c r="T27" s="12"/>
      <c r="U27" s="168"/>
      <c r="V27" s="140"/>
      <c r="W27" s="140"/>
    </row>
    <row r="28" spans="4:23" ht="15.75">
      <c r="D28" s="229" t="s">
        <v>3</v>
      </c>
      <c r="E28" s="13" t="s">
        <v>4</v>
      </c>
      <c r="F28" s="196" t="s">
        <v>28</v>
      </c>
      <c r="G28" s="9"/>
      <c r="H28" s="9"/>
      <c r="I28" s="9" t="s">
        <v>26</v>
      </c>
      <c r="J28" s="9"/>
      <c r="K28" s="9"/>
      <c r="L28" s="9"/>
      <c r="M28" s="9" t="s">
        <v>26</v>
      </c>
      <c r="N28" s="9"/>
      <c r="O28" s="9" t="s">
        <v>26</v>
      </c>
      <c r="P28" s="9"/>
      <c r="Q28" s="9"/>
      <c r="R28" s="9"/>
      <c r="S28" s="9"/>
      <c r="T28" s="9"/>
      <c r="U28" s="165"/>
      <c r="V28" s="140"/>
      <c r="W28" s="140"/>
    </row>
    <row r="29" spans="4:23" ht="15.75">
      <c r="D29" s="230"/>
      <c r="E29" s="14" t="s">
        <v>5</v>
      </c>
      <c r="F29" s="197" t="s">
        <v>26</v>
      </c>
      <c r="G29" s="10"/>
      <c r="H29" s="10"/>
      <c r="I29" s="10" t="s">
        <v>26</v>
      </c>
      <c r="J29" s="10"/>
      <c r="K29" s="10"/>
      <c r="L29" s="10"/>
      <c r="M29" s="10" t="s">
        <v>28</v>
      </c>
      <c r="N29" s="10"/>
      <c r="O29" s="10" t="s">
        <v>28</v>
      </c>
      <c r="P29" s="10"/>
      <c r="Q29" s="10"/>
      <c r="R29" s="10"/>
      <c r="S29" s="10"/>
      <c r="T29" s="10"/>
      <c r="U29" s="166"/>
      <c r="V29" s="140"/>
      <c r="W29" s="140"/>
    </row>
    <row r="30" spans="4:23" ht="15.75">
      <c r="D30" s="230"/>
      <c r="E30" s="14" t="s">
        <v>6</v>
      </c>
      <c r="F30" s="197">
        <v>16</v>
      </c>
      <c r="G30" s="10"/>
      <c r="H30" s="10"/>
      <c r="I30" s="10">
        <v>32</v>
      </c>
      <c r="J30" s="10"/>
      <c r="K30" s="10"/>
      <c r="L30" s="10"/>
      <c r="M30" s="10">
        <v>8</v>
      </c>
      <c r="N30" s="10"/>
      <c r="O30" s="10">
        <v>8</v>
      </c>
      <c r="P30" s="10"/>
      <c r="Q30" s="10"/>
      <c r="R30" s="10"/>
      <c r="S30" s="10"/>
      <c r="T30" s="10"/>
      <c r="U30" s="166"/>
      <c r="V30" s="140"/>
      <c r="W30" s="140"/>
    </row>
    <row r="31" spans="4:23" ht="15.75">
      <c r="D31" s="230"/>
      <c r="E31" s="14" t="s">
        <v>61</v>
      </c>
      <c r="F31" s="197">
        <v>93</v>
      </c>
      <c r="G31" s="10"/>
      <c r="H31" s="10"/>
      <c r="I31" s="10">
        <v>169</v>
      </c>
      <c r="J31" s="10"/>
      <c r="K31" s="10"/>
      <c r="L31" s="10"/>
      <c r="M31" s="10">
        <v>56</v>
      </c>
      <c r="N31" s="10"/>
      <c r="O31" s="10">
        <v>56</v>
      </c>
      <c r="P31" s="10"/>
      <c r="Q31" s="10"/>
      <c r="R31" s="10"/>
      <c r="S31" s="10"/>
      <c r="T31" s="10"/>
      <c r="U31" s="166"/>
      <c r="V31" s="140"/>
      <c r="W31" s="140"/>
    </row>
    <row r="32" spans="4:23" ht="15.75">
      <c r="D32" s="230"/>
      <c r="E32" s="14" t="s">
        <v>7</v>
      </c>
      <c r="F32" s="197">
        <v>0</v>
      </c>
      <c r="G32" s="10"/>
      <c r="H32" s="10"/>
      <c r="I32" s="10">
        <v>20</v>
      </c>
      <c r="J32" s="10"/>
      <c r="K32" s="10"/>
      <c r="L32" s="10"/>
      <c r="M32" s="10">
        <v>0</v>
      </c>
      <c r="N32" s="10"/>
      <c r="O32" s="10">
        <v>0</v>
      </c>
      <c r="P32" s="10"/>
      <c r="Q32" s="10"/>
      <c r="R32" s="10"/>
      <c r="S32" s="10"/>
      <c r="T32" s="10"/>
      <c r="U32" s="166"/>
      <c r="V32" s="140"/>
      <c r="W32" s="140"/>
    </row>
    <row r="33" spans="4:23" ht="15.75">
      <c r="D33" s="231"/>
      <c r="E33" s="167" t="s">
        <v>1</v>
      </c>
      <c r="F33" s="198">
        <v>100</v>
      </c>
      <c r="G33" s="12"/>
      <c r="H33" s="12"/>
      <c r="I33" s="12">
        <v>140</v>
      </c>
      <c r="J33" s="12"/>
      <c r="K33" s="12"/>
      <c r="L33" s="12"/>
      <c r="M33" s="12">
        <v>60</v>
      </c>
      <c r="N33" s="12"/>
      <c r="O33" s="12">
        <v>300</v>
      </c>
      <c r="P33" s="12"/>
      <c r="Q33" s="12"/>
      <c r="R33" s="12"/>
      <c r="S33" s="12"/>
      <c r="T33" s="12"/>
      <c r="U33" s="168"/>
      <c r="V33" s="140"/>
      <c r="W33" s="140"/>
    </row>
    <row r="34" spans="4:23" ht="15.75">
      <c r="D34" s="229" t="s">
        <v>29</v>
      </c>
      <c r="E34" s="13" t="s">
        <v>21</v>
      </c>
      <c r="F34" s="196"/>
      <c r="G34" s="9" t="s">
        <v>384</v>
      </c>
      <c r="H34" s="9"/>
      <c r="I34" s="9" t="s">
        <v>386</v>
      </c>
      <c r="J34" s="9"/>
      <c r="K34" s="9"/>
      <c r="L34" s="9" t="s">
        <v>385</v>
      </c>
      <c r="M34" s="9"/>
      <c r="N34" s="9" t="s">
        <v>384</v>
      </c>
      <c r="O34" s="9" t="s">
        <v>387</v>
      </c>
      <c r="P34" s="9"/>
      <c r="Q34" s="9"/>
      <c r="R34" s="9"/>
      <c r="S34" s="9"/>
      <c r="T34" s="9"/>
      <c r="U34" s="199"/>
      <c r="V34" s="140"/>
      <c r="W34" s="140"/>
    </row>
    <row r="35" spans="4:23" ht="15.75">
      <c r="D35" s="230"/>
      <c r="E35" s="14" t="s">
        <v>17</v>
      </c>
      <c r="F35" s="197"/>
      <c r="G35" s="10">
        <v>136</v>
      </c>
      <c r="H35" s="10"/>
      <c r="I35" s="10">
        <v>170</v>
      </c>
      <c r="J35" s="10"/>
      <c r="K35" s="139"/>
      <c r="L35" s="10">
        <v>76</v>
      </c>
      <c r="M35" s="10"/>
      <c r="N35" s="10">
        <v>45</v>
      </c>
      <c r="O35" s="10">
        <v>66</v>
      </c>
      <c r="P35" s="10"/>
      <c r="Q35" s="10"/>
      <c r="R35" s="10"/>
      <c r="S35" s="10"/>
      <c r="T35" s="10"/>
      <c r="U35" s="166"/>
      <c r="V35" s="140"/>
      <c r="W35" s="140"/>
    </row>
    <row r="36" spans="4:23" ht="15.75">
      <c r="D36" s="230"/>
      <c r="E36" s="14" t="s">
        <v>18</v>
      </c>
      <c r="F36" s="197"/>
      <c r="G36" s="10">
        <v>75</v>
      </c>
      <c r="H36" s="10"/>
      <c r="I36" s="10">
        <v>100</v>
      </c>
      <c r="J36" s="10"/>
      <c r="K36" s="139"/>
      <c r="L36" s="10">
        <v>20</v>
      </c>
      <c r="M36" s="10"/>
      <c r="N36" s="10">
        <v>50</v>
      </c>
      <c r="O36" s="10">
        <v>70</v>
      </c>
      <c r="P36" s="10"/>
      <c r="Q36" s="10"/>
      <c r="R36" s="10"/>
      <c r="S36" s="10"/>
      <c r="T36" s="10"/>
      <c r="U36" s="166"/>
      <c r="V36" s="140"/>
      <c r="W36" s="140"/>
    </row>
    <row r="37" spans="4:23" ht="15.75">
      <c r="D37" s="230"/>
      <c r="E37" s="14" t="s">
        <v>6</v>
      </c>
      <c r="F37" s="198"/>
      <c r="G37" s="12">
        <v>3</v>
      </c>
      <c r="H37" s="12"/>
      <c r="I37" s="12">
        <v>4</v>
      </c>
      <c r="J37" s="12"/>
      <c r="K37" s="141"/>
      <c r="L37" s="12">
        <v>3</v>
      </c>
      <c r="M37" s="12"/>
      <c r="N37" s="12">
        <v>3</v>
      </c>
      <c r="O37" s="12">
        <v>2</v>
      </c>
      <c r="P37" s="12"/>
      <c r="Q37" s="12"/>
      <c r="R37" s="12"/>
      <c r="S37" s="12"/>
      <c r="T37" s="12"/>
      <c r="U37" s="168"/>
      <c r="V37" s="140"/>
      <c r="W37" s="140"/>
    </row>
    <row r="38" spans="4:23" ht="15.75">
      <c r="D38" s="229"/>
      <c r="E38" s="13"/>
      <c r="F38" s="196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165"/>
      <c r="V38" s="140"/>
      <c r="W38" s="140"/>
    </row>
    <row r="39" spans="4:23" ht="15.75">
      <c r="D39" s="230"/>
      <c r="E39" s="14"/>
      <c r="F39" s="197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66"/>
      <c r="V39" s="140"/>
      <c r="W39" s="140"/>
    </row>
    <row r="40" spans="4:23" ht="15.75">
      <c r="D40" s="231"/>
      <c r="E40" s="167"/>
      <c r="F40" s="198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68"/>
      <c r="V40" s="140"/>
      <c r="W40" s="140"/>
    </row>
    <row r="43" spans="4:23">
      <c r="D43" s="138" t="s">
        <v>89</v>
      </c>
      <c r="E43" s="138" t="s">
        <v>90</v>
      </c>
      <c r="F43" s="138">
        <f>LOOKUP(F12,G80:H88,I80:I88)</f>
        <v>-5.1999999999999998E-2</v>
      </c>
      <c r="G43" s="138">
        <f>LOOKUP(G12,G80:H88,I80:I88)</f>
        <v>-6.2E-2</v>
      </c>
      <c r="H43" s="138">
        <f>LOOKUP(H12,G80:H88,I80:I88)</f>
        <v>-6.2E-2</v>
      </c>
      <c r="I43" s="138">
        <f>LOOKUP(I12,G80:H88,I80:I88)</f>
        <v>-6.2E-2</v>
      </c>
      <c r="J43" s="138">
        <f>LOOKUP(J12,G80:H88,I80:I88)</f>
        <v>-6.2E-2</v>
      </c>
      <c r="K43" s="138">
        <f>LOOKUP(K12,G80:H88,I80:I88)</f>
        <v>-5.1999999999999998E-2</v>
      </c>
      <c r="L43" s="138">
        <f>LOOKUP(L12,G80:H88,I80:I88)</f>
        <v>-5.1999999999999998E-2</v>
      </c>
      <c r="M43" s="138">
        <f>LOOKUP(M12,G80:H88,I80:I88)</f>
        <v>-4.2999999999999997E-2</v>
      </c>
      <c r="N43" s="138">
        <f>LOOKUP(N12,G80:H88,I80:I88)</f>
        <v>-4.2999999999999997E-2</v>
      </c>
      <c r="O43" s="138">
        <f>LOOKUP(O12,G80:H88,I80:I88)</f>
        <v>-4.2999999999999997E-2</v>
      </c>
      <c r="P43" s="138">
        <f>LOOKUP(P12,G80:H88,I80:I88)</f>
        <v>-3.5999999999999997E-2</v>
      </c>
      <c r="Q43" s="138" t="e">
        <f>LOOKUP(Q12,G80:H88,I80:I88)</f>
        <v>#N/A</v>
      </c>
      <c r="R43" s="138" t="e">
        <f>LOOKUP(R12,G80:H88,I80:I88)</f>
        <v>#N/A</v>
      </c>
      <c r="S43" s="138" t="e">
        <f>LOOKUP(S12,G80:H88,I80:I88)</f>
        <v>#N/A</v>
      </c>
      <c r="T43" s="138" t="e">
        <f>LOOKUP(T12,G80:H88,I80:I88)</f>
        <v>#N/A</v>
      </c>
      <c r="U43" s="138" t="e">
        <f>LOOKUP(U12,G80:H88,I80:I88)</f>
        <v>#N/A</v>
      </c>
    </row>
    <row r="44" spans="4:23">
      <c r="E44" s="138" t="s">
        <v>91</v>
      </c>
      <c r="F44" s="138">
        <f>LOOKUP(F12,G80:H88,J80:J88)</f>
        <v>-0.2</v>
      </c>
      <c r="G44" s="138">
        <f>LOOKUP(G12,G80:H88,J80:J88)</f>
        <v>-0.2</v>
      </c>
      <c r="H44" s="138">
        <f>LOOKUP(H12,G80:H88,J80:J88)</f>
        <v>-0.3</v>
      </c>
      <c r="I44" s="138">
        <f>LOOKUP(I12,G80:H88,J80:J88)</f>
        <v>-0.3</v>
      </c>
      <c r="J44" s="138">
        <f>LOOKUP(J12,G80:H88,J80:J88)</f>
        <v>-0.3</v>
      </c>
      <c r="K44" s="138">
        <f>LOOKUP(K12,G80:H88,J80:J88)</f>
        <v>-0.2</v>
      </c>
      <c r="L44" s="138">
        <f>LOOKUP(L12,G80:H88,J80:J88)</f>
        <v>-0.2</v>
      </c>
      <c r="M44" s="138">
        <f>LOOKUP(M12,G80:H88,J80:J88)</f>
        <v>-0.2</v>
      </c>
      <c r="N44" s="138">
        <f>LOOKUP(N12,G80:H88,J80:J88)</f>
        <v>-0.2</v>
      </c>
      <c r="O44" s="138">
        <f>LOOKUP(O12,G80:H88,J80:J88)</f>
        <v>-0.2</v>
      </c>
      <c r="P44" s="138">
        <f>LOOKUP(P12,G80:H88,J80:J88)</f>
        <v>-0.2</v>
      </c>
      <c r="Q44" s="138" t="e">
        <f>LOOKUP(Q12,G80:H88,J80:J88)</f>
        <v>#N/A</v>
      </c>
      <c r="R44" s="138" t="e">
        <f>LOOKUP(R12,G80:H88,J80:J88)</f>
        <v>#N/A</v>
      </c>
      <c r="S44" s="138" t="e">
        <f>LOOKUP(S12,G80:H88,J80:J88)</f>
        <v>#N/A</v>
      </c>
      <c r="T44" s="138" t="e">
        <f>LOOKUP(T12,G80:H88,J80:J88)</f>
        <v>#N/A</v>
      </c>
      <c r="U44" s="138" t="e">
        <f>LOOKUP(U12,G80:H88,J80:J88)</f>
        <v>#N/A</v>
      </c>
    </row>
    <row r="45" spans="4:23">
      <c r="D45" t="s">
        <v>362</v>
      </c>
      <c r="E45" t="s">
        <v>360</v>
      </c>
      <c r="F45" s="156" t="str">
        <f ca="1">TEXT(Tolerance!B4*0.001,"0.000")</f>
        <v>0.025</v>
      </c>
      <c r="G45" s="156" t="str">
        <f ca="1">TEXT(Tolerance!C4*0.001,"0.000")</f>
        <v>0.000</v>
      </c>
      <c r="H45" s="156" t="e">
        <f>TEXT(Tolerance!D4*0.001,"0.000")</f>
        <v>#N/A</v>
      </c>
      <c r="I45" s="156" t="str">
        <f ca="1">TEXT(Tolerance!E4*0.001,"0.000")</f>
        <v>-0.043</v>
      </c>
      <c r="J45" s="156" t="e">
        <f>TEXT(Tolerance!F4*0.001,"0.000")</f>
        <v>#N/A</v>
      </c>
      <c r="K45" s="156" t="e">
        <f>TEXT(Tolerance!G4*0.001,"0.000")</f>
        <v>#N/A</v>
      </c>
      <c r="L45" s="156" t="str">
        <f ca="1">TEXT(Tolerance!H4*0.001,"0.000")</f>
        <v>0.030</v>
      </c>
      <c r="M45" s="156" t="str">
        <f ca="1">TEXT(Tolerance!I4*0.001,"0.000")</f>
        <v>0.021</v>
      </c>
      <c r="N45" s="156" t="e">
        <f>TEXT(Tolerance!J4*0.001,"0.000")</f>
        <v>#N/A</v>
      </c>
      <c r="O45" s="156" t="e">
        <f>TEXT(Tolerance!K4*0.001,"0.000")</f>
        <v>#N/A</v>
      </c>
      <c r="P45" s="156" t="e">
        <f>TEXT(Tolerance!L4*0.001,"0.000")</f>
        <v>#N/A</v>
      </c>
      <c r="Q45" s="156" t="e">
        <f>TEXT(Tolerance!M4*0.001,"0.000")</f>
        <v>#N/A</v>
      </c>
      <c r="R45" s="156" t="e">
        <f>TEXT(Tolerance!N4*0.001,"0.000")</f>
        <v>#N/A</v>
      </c>
      <c r="S45" s="156" t="e">
        <f>TEXT(Tolerance!O4*0.001,"0.000")</f>
        <v>#N/A</v>
      </c>
      <c r="T45" s="156" t="e">
        <f>TEXT(Tolerance!P4*0.001,"0.000")</f>
        <v>#N/A</v>
      </c>
      <c r="U45" s="156" t="e">
        <f>TEXT(Tolerance!Q4*0.001,"0.000")</f>
        <v>#N/A</v>
      </c>
    </row>
    <row r="46" spans="4:23">
      <c r="E46" t="s">
        <v>361</v>
      </c>
      <c r="F46" s="156" t="str">
        <f ca="1">TEXT(Tolerance!B5*0.001,"0.000")</f>
        <v>0.003</v>
      </c>
      <c r="G46" s="156" t="str">
        <f ca="1">TEXT(Tolerance!C5*0.001,"0.000")</f>
        <v>-0.100</v>
      </c>
      <c r="H46" s="156" t="e">
        <f>TEXT(Tolerance!D5*0.001,"0.000")</f>
        <v>#N/A</v>
      </c>
      <c r="I46" s="156" t="str">
        <f ca="1">TEXT(Tolerance!E5*0.001,"0.000")</f>
        <v>-0.068</v>
      </c>
      <c r="J46" s="156" t="e">
        <f>TEXT(Tolerance!F5*0.001,"0.000")</f>
        <v>#N/A</v>
      </c>
      <c r="K46" s="156" t="e">
        <f>TEXT(Tolerance!G5*0.001,"0.000")</f>
        <v>#N/A</v>
      </c>
      <c r="L46" s="156" t="str">
        <f ca="1">TEXT(Tolerance!H5*0.001,"0.000")</f>
        <v>0.011</v>
      </c>
      <c r="M46" s="156" t="str">
        <f ca="1">TEXT(Tolerance!I5*0.001,"0.000")</f>
        <v>0.002</v>
      </c>
      <c r="N46" s="156" t="e">
        <f>TEXT(Tolerance!J5*0.001,"0.000")</f>
        <v>#N/A</v>
      </c>
      <c r="O46" s="156" t="e">
        <f>TEXT(Tolerance!K5*0.001,"0.000")</f>
        <v>#N/A</v>
      </c>
      <c r="P46" s="156" t="e">
        <f>TEXT(Tolerance!L5*0.001,"0.000")</f>
        <v>#N/A</v>
      </c>
      <c r="Q46" s="156" t="e">
        <f>TEXT(Tolerance!M5*0.001,"0.000")</f>
        <v>#N/A</v>
      </c>
      <c r="R46" s="156" t="e">
        <f>TEXT(Tolerance!N5*0.001,"0.000")</f>
        <v>#N/A</v>
      </c>
      <c r="S46" s="156" t="e">
        <f>TEXT(Tolerance!O5*0.001,"0.000")</f>
        <v>#N/A</v>
      </c>
      <c r="T46" s="156" t="e">
        <f>TEXT(Tolerance!P5*0.001,"0.000")</f>
        <v>#N/A</v>
      </c>
      <c r="U46" s="156" t="e">
        <f>TEXT(Tolerance!Q5*0.001,"0.000")</f>
        <v>#N/A</v>
      </c>
    </row>
    <row r="48" spans="4:23">
      <c r="F48"/>
    </row>
    <row r="50" spans="4:21">
      <c r="D50" s="138" t="s">
        <v>34</v>
      </c>
      <c r="E50" s="138" t="s">
        <v>35</v>
      </c>
      <c r="F50" s="138" t="s">
        <v>45</v>
      </c>
      <c r="G50" s="138" t="s">
        <v>29</v>
      </c>
      <c r="H50" s="138" t="s">
        <v>314</v>
      </c>
      <c r="I50" s="138" t="s">
        <v>21</v>
      </c>
      <c r="J50" s="138" t="s">
        <v>421</v>
      </c>
    </row>
    <row r="51" spans="4:21">
      <c r="D51" s="143">
        <v>0.8</v>
      </c>
      <c r="E51" s="143" t="s">
        <v>37</v>
      </c>
      <c r="F51" s="144" t="s">
        <v>28</v>
      </c>
      <c r="G51" s="143" t="s">
        <v>16</v>
      </c>
      <c r="H51" s="144" t="s">
        <v>313</v>
      </c>
      <c r="I51" s="183" t="s">
        <v>384</v>
      </c>
      <c r="J51" s="200" t="s">
        <v>195</v>
      </c>
    </row>
    <row r="52" spans="4:21">
      <c r="D52" s="145">
        <v>1.6</v>
      </c>
      <c r="E52" s="145" t="s">
        <v>40</v>
      </c>
      <c r="F52" s="146" t="s">
        <v>26</v>
      </c>
      <c r="G52" s="145" t="s">
        <v>63</v>
      </c>
      <c r="H52" s="148"/>
      <c r="I52" s="182" t="s">
        <v>385</v>
      </c>
      <c r="J52" s="200" t="s">
        <v>197</v>
      </c>
    </row>
    <row r="53" spans="4:21">
      <c r="D53" s="145">
        <v>3.2</v>
      </c>
      <c r="E53" s="147"/>
      <c r="F53" s="148"/>
      <c r="G53" s="145" t="s">
        <v>64</v>
      </c>
      <c r="I53" s="182" t="s">
        <v>386</v>
      </c>
    </row>
    <row r="54" spans="4:21">
      <c r="D54" s="145">
        <v>6.3</v>
      </c>
      <c r="G54" s="147"/>
      <c r="I54" s="7" t="s">
        <v>387</v>
      </c>
    </row>
    <row r="55" spans="4:21">
      <c r="D55" s="147"/>
      <c r="I55" s="147"/>
    </row>
    <row r="56" spans="4:21">
      <c r="D56" s="138" t="s">
        <v>30</v>
      </c>
      <c r="E56" s="138">
        <v>500</v>
      </c>
      <c r="F56" s="138">
        <v>1000</v>
      </c>
    </row>
    <row r="57" spans="4:21">
      <c r="D57" s="138" t="s">
        <v>32</v>
      </c>
      <c r="E57" s="138">
        <f>MAX(F12:U12)</f>
        <v>180</v>
      </c>
    </row>
    <row r="58" spans="4:21">
      <c r="D58" s="138" t="s">
        <v>33</v>
      </c>
      <c r="E58" s="138">
        <f>F4</f>
        <v>7.85</v>
      </c>
      <c r="F58" s="138">
        <f>E58</f>
        <v>7.85</v>
      </c>
      <c r="G58" s="138">
        <f t="shared" ref="G58:U58" si="1">F58</f>
        <v>7.85</v>
      </c>
      <c r="H58" s="138">
        <f t="shared" si="1"/>
        <v>7.85</v>
      </c>
      <c r="I58" s="138">
        <f t="shared" si="1"/>
        <v>7.85</v>
      </c>
      <c r="J58" s="138">
        <f t="shared" si="1"/>
        <v>7.85</v>
      </c>
      <c r="K58" s="138">
        <f t="shared" si="1"/>
        <v>7.85</v>
      </c>
      <c r="L58" s="138">
        <f t="shared" si="1"/>
        <v>7.85</v>
      </c>
      <c r="M58" s="138">
        <f t="shared" si="1"/>
        <v>7.85</v>
      </c>
      <c r="N58" s="138">
        <f t="shared" si="1"/>
        <v>7.85</v>
      </c>
      <c r="O58" s="138">
        <f t="shared" si="1"/>
        <v>7.85</v>
      </c>
      <c r="P58" s="138">
        <f t="shared" si="1"/>
        <v>7.85</v>
      </c>
      <c r="Q58" s="138">
        <f t="shared" si="1"/>
        <v>7.85</v>
      </c>
      <c r="R58" s="138">
        <f t="shared" si="1"/>
        <v>7.85</v>
      </c>
      <c r="S58" s="138">
        <f t="shared" si="1"/>
        <v>7.85</v>
      </c>
      <c r="T58" s="138">
        <f t="shared" si="1"/>
        <v>7.85</v>
      </c>
      <c r="U58" s="138">
        <f t="shared" si="1"/>
        <v>7.85</v>
      </c>
    </row>
    <row r="59" spans="4:21">
      <c r="D59" s="138" t="s">
        <v>23</v>
      </c>
      <c r="E59" s="138">
        <f>ROUND(SUM(F62:U62),2)</f>
        <v>107.57</v>
      </c>
      <c r="F59" s="138">
        <f t="shared" ref="F59:U59" si="2">PI()*F12*F12/4*F13*E58/1000000</f>
        <v>8.9521253460367962</v>
      </c>
      <c r="G59" s="138">
        <f t="shared" si="2"/>
        <v>15.62922710206837</v>
      </c>
      <c r="H59" s="138">
        <f t="shared" si="2"/>
        <v>15.783361491635119</v>
      </c>
      <c r="I59" s="138">
        <f t="shared" si="2"/>
        <v>39.951633775701403</v>
      </c>
      <c r="J59" s="138">
        <f t="shared" si="2"/>
        <v>6.3133445966540478</v>
      </c>
      <c r="K59" s="138">
        <f t="shared" si="2"/>
        <v>6.1653755826699683</v>
      </c>
      <c r="L59" s="138">
        <f t="shared" si="2"/>
        <v>3.5512563356179023</v>
      </c>
      <c r="M59" s="138">
        <f t="shared" si="2"/>
        <v>1.3317211258567132</v>
      </c>
      <c r="N59" s="138">
        <f t="shared" si="2"/>
        <v>1.9729201864543899</v>
      </c>
      <c r="O59" s="138">
        <f t="shared" si="2"/>
        <v>6.6586056292835663</v>
      </c>
      <c r="P59" s="138">
        <f t="shared" si="2"/>
        <v>1.9975816887850699</v>
      </c>
      <c r="Q59" s="138">
        <f t="shared" si="2"/>
        <v>0</v>
      </c>
      <c r="R59" s="138">
        <f t="shared" si="2"/>
        <v>0</v>
      </c>
      <c r="S59" s="138">
        <f t="shared" si="2"/>
        <v>0</v>
      </c>
      <c r="T59" s="138">
        <f t="shared" si="2"/>
        <v>0</v>
      </c>
      <c r="U59" s="138">
        <f t="shared" si="2"/>
        <v>0</v>
      </c>
    </row>
    <row r="60" spans="4:21">
      <c r="F60" s="138">
        <f t="shared" ref="F60:U60" si="3">F30*(F12-F31)*F33*F58/1000000</f>
        <v>0.21351999999999999</v>
      </c>
      <c r="G60" s="138">
        <f t="shared" si="3"/>
        <v>0</v>
      </c>
      <c r="H60" s="138">
        <f t="shared" si="3"/>
        <v>0</v>
      </c>
      <c r="I60" s="138">
        <f t="shared" si="3"/>
        <v>0.38684800000000003</v>
      </c>
      <c r="J60" s="138">
        <f t="shared" si="3"/>
        <v>0</v>
      </c>
      <c r="K60" s="138">
        <f t="shared" si="3"/>
        <v>0</v>
      </c>
      <c r="L60" s="138">
        <f t="shared" si="3"/>
        <v>0</v>
      </c>
      <c r="M60" s="138">
        <f t="shared" si="3"/>
        <v>1.5072E-2</v>
      </c>
      <c r="N60" s="138">
        <f t="shared" si="3"/>
        <v>0</v>
      </c>
      <c r="O60" s="138">
        <f t="shared" si="3"/>
        <v>7.5359999999999996E-2</v>
      </c>
      <c r="P60" s="138">
        <f t="shared" si="3"/>
        <v>0</v>
      </c>
      <c r="Q60" s="138">
        <f t="shared" si="3"/>
        <v>0</v>
      </c>
      <c r="R60" s="138">
        <f t="shared" si="3"/>
        <v>0</v>
      </c>
      <c r="S60" s="138">
        <f t="shared" si="3"/>
        <v>0</v>
      </c>
      <c r="T60" s="138">
        <f t="shared" si="3"/>
        <v>0</v>
      </c>
      <c r="U60" s="138">
        <f t="shared" si="3"/>
        <v>0</v>
      </c>
    </row>
    <row r="61" spans="4:21">
      <c r="E61" s="138" t="s">
        <v>87</v>
      </c>
      <c r="F61" s="138">
        <f t="shared" ref="F61:U61" si="4">PI()/4*(F12*F12-F35*F35)*F37*F58/1000000</f>
        <v>0</v>
      </c>
      <c r="G61" s="138">
        <f t="shared" si="4"/>
        <v>-2.9519818289823807E-2</v>
      </c>
      <c r="H61" s="138">
        <f t="shared" si="4"/>
        <v>0</v>
      </c>
      <c r="I61" s="138">
        <f t="shared" si="4"/>
        <v>8.631525815737956E-2</v>
      </c>
      <c r="J61" s="138">
        <f t="shared" si="4"/>
        <v>0</v>
      </c>
      <c r="K61" s="138">
        <f t="shared" si="4"/>
        <v>0</v>
      </c>
      <c r="L61" s="138">
        <f t="shared" si="4"/>
        <v>1.1541583090758182E-2</v>
      </c>
      <c r="M61" s="138">
        <f t="shared" si="4"/>
        <v>0</v>
      </c>
      <c r="N61" s="138">
        <f t="shared" si="4"/>
        <v>-7.8608538679042095E-3</v>
      </c>
      <c r="O61" s="138">
        <f t="shared" si="4"/>
        <v>-9.3220478809969941E-3</v>
      </c>
      <c r="P61" s="138">
        <f t="shared" si="4"/>
        <v>0</v>
      </c>
      <c r="Q61" s="138">
        <f t="shared" si="4"/>
        <v>0</v>
      </c>
      <c r="R61" s="138">
        <f t="shared" si="4"/>
        <v>0</v>
      </c>
      <c r="S61" s="138">
        <f t="shared" si="4"/>
        <v>0</v>
      </c>
      <c r="T61" s="138">
        <f t="shared" si="4"/>
        <v>0</v>
      </c>
      <c r="U61" s="138">
        <f t="shared" si="4"/>
        <v>0</v>
      </c>
    </row>
    <row r="62" spans="4:21">
      <c r="F62" s="138">
        <f>F59-F60-F61</f>
        <v>8.7386053460367954</v>
      </c>
      <c r="G62" s="138">
        <f t="shared" ref="G62:U62" si="5">G59-G60-G61</f>
        <v>15.658746920358194</v>
      </c>
      <c r="H62" s="138">
        <f t="shared" si="5"/>
        <v>15.783361491635119</v>
      </c>
      <c r="I62" s="138">
        <f t="shared" si="5"/>
        <v>39.478470517544025</v>
      </c>
      <c r="J62" s="138">
        <f t="shared" si="5"/>
        <v>6.3133445966540478</v>
      </c>
      <c r="K62" s="138">
        <f t="shared" si="5"/>
        <v>6.1653755826699683</v>
      </c>
      <c r="L62" s="138">
        <f t="shared" si="5"/>
        <v>3.5397147525271442</v>
      </c>
      <c r="M62" s="138">
        <f t="shared" si="5"/>
        <v>1.3166491258567132</v>
      </c>
      <c r="N62" s="138">
        <f t="shared" si="5"/>
        <v>1.9807810403222941</v>
      </c>
      <c r="O62" s="138">
        <f t="shared" si="5"/>
        <v>6.5925676771645634</v>
      </c>
      <c r="P62" s="138">
        <f t="shared" si="5"/>
        <v>1.9975816887850699</v>
      </c>
      <c r="Q62" s="138">
        <f t="shared" si="5"/>
        <v>0</v>
      </c>
      <c r="R62" s="138">
        <f t="shared" si="5"/>
        <v>0</v>
      </c>
      <c r="S62" s="138">
        <f t="shared" si="5"/>
        <v>0</v>
      </c>
      <c r="T62" s="138">
        <f t="shared" si="5"/>
        <v>0</v>
      </c>
      <c r="U62" s="138">
        <f t="shared" si="5"/>
        <v>0</v>
      </c>
    </row>
    <row r="67" spans="5:15">
      <c r="F67" s="144" t="s">
        <v>66</v>
      </c>
      <c r="G67" s="157"/>
      <c r="H67" s="157"/>
      <c r="I67" s="157" t="s">
        <v>65</v>
      </c>
      <c r="J67" s="157" t="s">
        <v>74</v>
      </c>
      <c r="K67" s="157"/>
      <c r="L67" s="157"/>
      <c r="M67" s="157"/>
      <c r="N67" s="157"/>
      <c r="O67" s="175"/>
    </row>
    <row r="68" spans="5:15">
      <c r="E68" s="138" t="s">
        <v>88</v>
      </c>
      <c r="F68" s="146" t="s">
        <v>72</v>
      </c>
      <c r="G68" s="140"/>
      <c r="H68" s="140"/>
      <c r="I68" s="140" t="s">
        <v>75</v>
      </c>
      <c r="J68" s="140" t="s">
        <v>74</v>
      </c>
      <c r="K68" s="140"/>
      <c r="L68" s="140"/>
      <c r="M68" s="140"/>
      <c r="N68" s="140"/>
      <c r="O68" s="176"/>
    </row>
    <row r="69" spans="5:15">
      <c r="F69" s="146" t="s">
        <v>69</v>
      </c>
      <c r="G69" s="140"/>
      <c r="H69" s="140"/>
      <c r="I69" s="140" t="s">
        <v>76</v>
      </c>
      <c r="J69" s="140" t="s">
        <v>77</v>
      </c>
      <c r="K69" s="140"/>
      <c r="L69" s="140"/>
      <c r="M69" s="140"/>
      <c r="N69" s="140"/>
      <c r="O69" s="176"/>
    </row>
    <row r="70" spans="5:15">
      <c r="F70" s="146" t="s">
        <v>70</v>
      </c>
      <c r="G70" s="140"/>
      <c r="H70" s="140"/>
      <c r="I70" s="140" t="s">
        <v>78</v>
      </c>
      <c r="J70" s="140" t="s">
        <v>79</v>
      </c>
      <c r="K70" s="140"/>
      <c r="L70" s="140"/>
      <c r="M70" s="140"/>
      <c r="N70" s="140"/>
      <c r="O70" s="176"/>
    </row>
    <row r="71" spans="5:15">
      <c r="F71" s="146" t="s">
        <v>71</v>
      </c>
      <c r="G71" s="140"/>
      <c r="H71" s="140"/>
      <c r="I71" s="140" t="s">
        <v>80</v>
      </c>
      <c r="J71" s="140" t="s">
        <v>81</v>
      </c>
      <c r="K71" s="140"/>
      <c r="L71" s="140"/>
      <c r="M71" s="140"/>
      <c r="N71" s="140"/>
      <c r="O71" s="176"/>
    </row>
    <row r="72" spans="5:15">
      <c r="F72" s="146" t="s">
        <v>73</v>
      </c>
      <c r="G72" s="140"/>
      <c r="H72" s="140"/>
      <c r="I72" s="140" t="s">
        <v>82</v>
      </c>
      <c r="J72" s="140" t="s">
        <v>83</v>
      </c>
      <c r="K72" s="140"/>
      <c r="L72" s="140"/>
      <c r="M72" s="140"/>
      <c r="N72" s="140" t="s">
        <v>84</v>
      </c>
      <c r="O72" s="176"/>
    </row>
    <row r="73" spans="5:15">
      <c r="F73" s="148"/>
      <c r="G73" s="161"/>
      <c r="H73" s="161"/>
      <c r="I73" s="161"/>
      <c r="J73" s="161"/>
      <c r="K73" s="161"/>
      <c r="L73" s="161"/>
      <c r="M73" s="161"/>
      <c r="N73" s="161" t="str">
        <f>VLOOKUP($F$6,F67:I72,4,0)</f>
        <v>40Cr4Mo3</v>
      </c>
      <c r="O73" s="177" t="str">
        <f>VLOOKUP($F$6,F67:J72,5,0)</f>
        <v>IS:4367-91</v>
      </c>
    </row>
    <row r="79" spans="5:15">
      <c r="E79" s="138" t="s">
        <v>89</v>
      </c>
      <c r="G79" s="149" t="s">
        <v>85</v>
      </c>
      <c r="H79" s="149" t="s">
        <v>86</v>
      </c>
      <c r="I79" s="149" t="s">
        <v>92</v>
      </c>
      <c r="J79" s="149" t="s">
        <v>93</v>
      </c>
      <c r="K79" s="150"/>
      <c r="L79" s="151"/>
      <c r="M79" s="150"/>
    </row>
    <row r="80" spans="5:15">
      <c r="G80" s="150">
        <v>6.0010000000000003</v>
      </c>
      <c r="H80" s="15">
        <v>10</v>
      </c>
      <c r="I80" s="15">
        <v>-2.9000000000000001E-2</v>
      </c>
      <c r="J80" s="15">
        <v>-0.1</v>
      </c>
      <c r="K80" s="150"/>
      <c r="L80" s="151"/>
      <c r="M80" s="150"/>
    </row>
    <row r="81" spans="6:13">
      <c r="G81" s="151">
        <v>10.000999999999999</v>
      </c>
      <c r="H81" s="15">
        <v>22</v>
      </c>
      <c r="I81" s="15">
        <v>-0.03</v>
      </c>
      <c r="J81" s="15">
        <v>-0.1</v>
      </c>
      <c r="K81" s="150"/>
      <c r="L81" s="151"/>
      <c r="M81" s="151"/>
    </row>
    <row r="82" spans="6:13">
      <c r="G82" s="138">
        <v>22.001000000000001</v>
      </c>
      <c r="H82" s="15">
        <v>38</v>
      </c>
      <c r="I82" s="15">
        <v>-3.5999999999999997E-2</v>
      </c>
      <c r="J82" s="15">
        <v>-0.2</v>
      </c>
      <c r="K82" s="151"/>
      <c r="L82" s="151"/>
      <c r="M82" s="151"/>
    </row>
    <row r="83" spans="6:13">
      <c r="G83" s="138">
        <v>38.000999999999998</v>
      </c>
      <c r="H83" s="15">
        <v>65</v>
      </c>
      <c r="I83" s="15">
        <v>-4.2999999999999997E-2</v>
      </c>
      <c r="J83" s="15">
        <v>-0.2</v>
      </c>
      <c r="K83" s="151"/>
      <c r="L83" s="151"/>
      <c r="M83" s="151"/>
    </row>
    <row r="84" spans="6:13">
      <c r="G84" s="138">
        <v>65.001000000000005</v>
      </c>
      <c r="H84" s="15">
        <v>110</v>
      </c>
      <c r="I84" s="15">
        <v>-5.1999999999999998E-2</v>
      </c>
      <c r="J84" s="15">
        <v>-0.2</v>
      </c>
    </row>
    <row r="85" spans="6:13">
      <c r="G85" s="138">
        <v>110.001</v>
      </c>
      <c r="H85" s="15">
        <v>130</v>
      </c>
      <c r="I85" s="15">
        <v>-6.2E-2</v>
      </c>
      <c r="J85" s="15">
        <v>-0.2</v>
      </c>
    </row>
    <row r="86" spans="6:13">
      <c r="G86" s="138">
        <v>130.001</v>
      </c>
      <c r="H86" s="15">
        <v>230</v>
      </c>
      <c r="I86" s="15">
        <v>-6.2E-2</v>
      </c>
      <c r="J86" s="15">
        <v>-0.3</v>
      </c>
    </row>
    <row r="87" spans="6:13">
      <c r="G87" s="138">
        <v>230.001</v>
      </c>
      <c r="H87" s="15">
        <v>380</v>
      </c>
      <c r="I87" s="15">
        <v>-7.3999999999999996E-2</v>
      </c>
      <c r="J87" s="15">
        <v>-0.3</v>
      </c>
    </row>
    <row r="88" spans="6:13">
      <c r="G88" s="138">
        <v>380.00099999999998</v>
      </c>
      <c r="H88" s="15">
        <v>500</v>
      </c>
      <c r="I88" s="15">
        <v>-8.6999999999999994E-2</v>
      </c>
      <c r="J88" s="15">
        <v>-0.3</v>
      </c>
    </row>
    <row r="90" spans="6:13">
      <c r="F90" s="138" t="s">
        <v>351</v>
      </c>
      <c r="J90" t="s">
        <v>363</v>
      </c>
    </row>
    <row r="91" spans="6:13">
      <c r="F91" s="143" t="str">
        <f>Tolerance!B97</f>
        <v>a12</v>
      </c>
      <c r="J91" t="s">
        <v>363</v>
      </c>
      <c r="K91" t="s">
        <v>365</v>
      </c>
      <c r="L91" t="s">
        <v>364</v>
      </c>
    </row>
    <row r="92" spans="6:13">
      <c r="F92" s="145" t="str">
        <f>Tolerance!B99</f>
        <v>d6</v>
      </c>
      <c r="J92" s="144" t="str">
        <f t="shared" ref="J92:J103" si="6">CONCATENATE("1:",L92)</f>
        <v>1:1</v>
      </c>
      <c r="K92" s="157">
        <f t="shared" ref="K92:K105" si="7">ROUND(1/L92,4)</f>
        <v>1</v>
      </c>
      <c r="L92" s="158">
        <v>1</v>
      </c>
    </row>
    <row r="93" spans="6:13">
      <c r="F93" s="145" t="str">
        <f>Tolerance!B101</f>
        <v>e6</v>
      </c>
      <c r="J93" s="146" t="str">
        <f t="shared" si="6"/>
        <v>1:2</v>
      </c>
      <c r="K93" s="140">
        <f t="shared" si="7"/>
        <v>0.5</v>
      </c>
      <c r="L93" s="159">
        <v>2</v>
      </c>
    </row>
    <row r="94" spans="6:13">
      <c r="F94" s="145" t="str">
        <f>Tolerance!B103</f>
        <v>e13</v>
      </c>
      <c r="J94" s="146" t="str">
        <f t="shared" si="6"/>
        <v>1:2.5</v>
      </c>
      <c r="K94" s="140">
        <f t="shared" si="7"/>
        <v>0.4</v>
      </c>
      <c r="L94" s="159">
        <v>2.5</v>
      </c>
    </row>
    <row r="95" spans="6:13">
      <c r="F95" s="145" t="str">
        <f>Tolerance!B105</f>
        <v>f5</v>
      </c>
      <c r="J95" s="146" t="str">
        <f t="shared" si="6"/>
        <v>1:4</v>
      </c>
      <c r="K95" s="140">
        <f t="shared" si="7"/>
        <v>0.25</v>
      </c>
      <c r="L95" s="160">
        <v>4</v>
      </c>
    </row>
    <row r="96" spans="6:13">
      <c r="F96" s="145" t="str">
        <f>Tolerance!B107</f>
        <v>f6</v>
      </c>
      <c r="J96" s="146" t="str">
        <f t="shared" si="6"/>
        <v>1:5</v>
      </c>
      <c r="K96" s="140">
        <f t="shared" si="7"/>
        <v>0.2</v>
      </c>
      <c r="L96" s="159">
        <v>5</v>
      </c>
    </row>
    <row r="97" spans="6:12">
      <c r="F97" s="145" t="str">
        <f>Tolerance!B109</f>
        <v>f7</v>
      </c>
      <c r="J97" s="146" t="str">
        <f t="shared" si="6"/>
        <v>1:7.5</v>
      </c>
      <c r="K97" s="140">
        <f t="shared" si="7"/>
        <v>0.1333</v>
      </c>
      <c r="L97" s="160">
        <v>7.5</v>
      </c>
    </row>
    <row r="98" spans="6:12">
      <c r="F98" s="145" t="str">
        <f>Tolerance!B111</f>
        <v>g5</v>
      </c>
      <c r="J98" s="146" t="str">
        <f t="shared" si="6"/>
        <v>1:10</v>
      </c>
      <c r="K98" s="140">
        <f t="shared" si="7"/>
        <v>0.1</v>
      </c>
      <c r="L98" s="160">
        <v>10</v>
      </c>
    </row>
    <row r="99" spans="6:12">
      <c r="F99" s="145" t="str">
        <f>Tolerance!B113</f>
        <v>g6</v>
      </c>
      <c r="J99" s="146" t="str">
        <f t="shared" si="6"/>
        <v>1:15</v>
      </c>
      <c r="K99" s="140">
        <f t="shared" si="7"/>
        <v>6.6699999999999995E-2</v>
      </c>
      <c r="L99" s="159">
        <v>15</v>
      </c>
    </row>
    <row r="100" spans="6:12">
      <c r="F100" s="145" t="str">
        <f>Tolerance!B115</f>
        <v>g7</v>
      </c>
      <c r="J100" s="146" t="str">
        <f t="shared" si="6"/>
        <v>1:20</v>
      </c>
      <c r="K100" s="140">
        <f t="shared" si="7"/>
        <v>0.05</v>
      </c>
      <c r="L100" s="159">
        <v>20</v>
      </c>
    </row>
    <row r="101" spans="6:12">
      <c r="F101" s="145" t="str">
        <f>Tolerance!B117</f>
        <v>h4</v>
      </c>
      <c r="J101" s="146" t="str">
        <f t="shared" si="6"/>
        <v>1:25</v>
      </c>
      <c r="K101" s="140">
        <f t="shared" si="7"/>
        <v>0.04</v>
      </c>
      <c r="L101" s="159">
        <v>25</v>
      </c>
    </row>
    <row r="102" spans="6:12">
      <c r="F102" s="145" t="str">
        <f>Tolerance!B119</f>
        <v>h5</v>
      </c>
      <c r="J102" s="146" t="str">
        <f t="shared" si="6"/>
        <v>1:50</v>
      </c>
      <c r="K102" s="140">
        <f t="shared" si="7"/>
        <v>0.02</v>
      </c>
      <c r="L102" s="159">
        <v>50</v>
      </c>
    </row>
    <row r="103" spans="6:12">
      <c r="F103" s="145" t="str">
        <f>Tolerance!B121</f>
        <v>h6</v>
      </c>
      <c r="J103" s="148" t="str">
        <f t="shared" si="6"/>
        <v>1:100</v>
      </c>
      <c r="K103" s="161">
        <f t="shared" si="7"/>
        <v>0.01</v>
      </c>
      <c r="L103" s="162">
        <v>100</v>
      </c>
    </row>
    <row r="104" spans="6:12">
      <c r="F104" s="145" t="str">
        <f>Tolerance!B123</f>
        <v>h7</v>
      </c>
      <c r="J104" s="192" t="s">
        <v>417</v>
      </c>
      <c r="K104" s="133">
        <f t="shared" si="7"/>
        <v>2</v>
      </c>
      <c r="L104" s="159">
        <v>0.5</v>
      </c>
    </row>
    <row r="105" spans="6:12">
      <c r="F105" s="145" t="str">
        <f>Tolerance!B125</f>
        <v>h8</v>
      </c>
      <c r="J105" s="192" t="s">
        <v>418</v>
      </c>
      <c r="K105" s="133">
        <f t="shared" si="7"/>
        <v>5</v>
      </c>
      <c r="L105" s="159">
        <v>0.2</v>
      </c>
    </row>
    <row r="106" spans="6:12">
      <c r="F106" s="145" t="str">
        <f>Tolerance!B127</f>
        <v>h9</v>
      </c>
      <c r="I106" s="104" t="s">
        <v>368</v>
      </c>
      <c r="J106" s="169" t="str">
        <f>F7</f>
        <v>1:2</v>
      </c>
      <c r="K106" s="170">
        <f>VLOOKUP($J$106,$J$92:$L$105,2,0)</f>
        <v>0.5</v>
      </c>
      <c r="L106" s="173">
        <f>VLOOKUP($J$106,$J$92:$L$105,3,0)</f>
        <v>2</v>
      </c>
    </row>
    <row r="107" spans="6:12">
      <c r="F107" s="145" t="str">
        <f>Tolerance!B129</f>
        <v>h10</v>
      </c>
      <c r="I107" s="104" t="s">
        <v>369</v>
      </c>
      <c r="J107" s="171" t="str">
        <f>F8</f>
        <v>1:2.5</v>
      </c>
      <c r="K107" s="172">
        <f>VLOOKUP($J$107,$J$92:$L$105,2,0)</f>
        <v>0.4</v>
      </c>
      <c r="L107" s="174">
        <f>VLOOKUP($J$107,$J$92:$L$105,3,0)</f>
        <v>2.5</v>
      </c>
    </row>
    <row r="108" spans="6:12">
      <c r="F108" s="145" t="str">
        <f>Tolerance!B131</f>
        <v>h11</v>
      </c>
      <c r="I108" s="104" t="s">
        <v>419</v>
      </c>
      <c r="J108" s="193" t="str">
        <f>F9</f>
        <v>5:1</v>
      </c>
      <c r="K108" s="194">
        <f>VLOOKUP($J$108,$J$92:$L$105,2,0)</f>
        <v>5</v>
      </c>
      <c r="L108" s="195">
        <f>VLOOKUP($J$108,$J$92:$L$105,3,0)</f>
        <v>0.2</v>
      </c>
    </row>
    <row r="109" spans="6:12">
      <c r="F109" s="145" t="str">
        <f>Tolerance!B133</f>
        <v>h12</v>
      </c>
    </row>
    <row r="110" spans="6:12">
      <c r="F110" s="145" t="str">
        <f>Tolerance!B135</f>
        <v>j5</v>
      </c>
    </row>
    <row r="111" spans="6:12">
      <c r="F111" s="145" t="str">
        <f>Tolerance!B137</f>
        <v>j6</v>
      </c>
    </row>
    <row r="112" spans="6:12">
      <c r="F112" s="145" t="str">
        <f>Tolerance!B139</f>
        <v>j7</v>
      </c>
    </row>
    <row r="113" spans="6:6">
      <c r="F113" s="145" t="str">
        <f>Tolerance!B141</f>
        <v>js5</v>
      </c>
    </row>
    <row r="114" spans="6:6">
      <c r="F114" s="145" t="str">
        <f>Tolerance!B143</f>
        <v>js6</v>
      </c>
    </row>
    <row r="115" spans="6:6">
      <c r="F115" s="145" t="str">
        <f>Tolerance!B145</f>
        <v>js7</v>
      </c>
    </row>
    <row r="116" spans="6:6">
      <c r="F116" s="145" t="str">
        <f>Tolerance!B147</f>
        <v>k5</v>
      </c>
    </row>
    <row r="117" spans="6:6">
      <c r="F117" s="145" t="str">
        <f>Tolerance!B149</f>
        <v>k6</v>
      </c>
    </row>
    <row r="118" spans="6:6">
      <c r="F118" s="145" t="str">
        <f>Tolerance!B151</f>
        <v>k7</v>
      </c>
    </row>
    <row r="119" spans="6:6">
      <c r="F119" s="145" t="str">
        <f>Tolerance!B153</f>
        <v>m5</v>
      </c>
    </row>
    <row r="120" spans="6:6">
      <c r="F120" s="145" t="str">
        <f>Tolerance!B155</f>
        <v>m6</v>
      </c>
    </row>
    <row r="121" spans="6:6">
      <c r="F121" s="145" t="str">
        <f>Tolerance!B157</f>
        <v>m7</v>
      </c>
    </row>
    <row r="122" spans="6:6">
      <c r="F122" s="145" t="str">
        <f>Tolerance!B159</f>
        <v>n5</v>
      </c>
    </row>
    <row r="123" spans="6:6">
      <c r="F123" s="145" t="str">
        <f>Tolerance!B161</f>
        <v>n6</v>
      </c>
    </row>
    <row r="124" spans="6:6">
      <c r="F124" s="145" t="str">
        <f>Tolerance!B163</f>
        <v>n7</v>
      </c>
    </row>
    <row r="125" spans="6:6">
      <c r="F125" s="145" t="str">
        <f>Tolerance!B165</f>
        <v>p5</v>
      </c>
    </row>
    <row r="126" spans="6:6">
      <c r="F126" s="145" t="str">
        <f>Tolerance!B167</f>
        <v>p6</v>
      </c>
    </row>
    <row r="127" spans="6:6">
      <c r="F127" s="145" t="str">
        <f>Tolerance!B169</f>
        <v>q6</v>
      </c>
    </row>
    <row r="128" spans="6:6">
      <c r="F128" s="147"/>
    </row>
    <row r="132" spans="7:20" ht="15.75">
      <c r="G132" s="184" t="s">
        <v>388</v>
      </c>
      <c r="H132" s="184"/>
      <c r="I132" s="184"/>
      <c r="J132" s="184"/>
      <c r="K132" s="184"/>
      <c r="L132" s="184"/>
      <c r="M132" s="184"/>
      <c r="N132" s="184" t="s">
        <v>389</v>
      </c>
      <c r="O132" s="8"/>
      <c r="P132" s="8"/>
      <c r="Q132" s="8"/>
      <c r="R132" s="8"/>
      <c r="S132" s="8"/>
      <c r="T132" s="8"/>
    </row>
    <row r="133" spans="7:20" ht="14.45" customHeight="1">
      <c r="G133" s="215" t="s">
        <v>390</v>
      </c>
      <c r="H133" s="218" t="s">
        <v>391</v>
      </c>
      <c r="I133" s="219"/>
      <c r="J133" s="219"/>
      <c r="K133" s="219"/>
      <c r="L133" s="220"/>
      <c r="M133" s="8"/>
      <c r="N133" s="215" t="s">
        <v>392</v>
      </c>
      <c r="O133" s="218" t="s">
        <v>391</v>
      </c>
      <c r="P133" s="219"/>
      <c r="Q133" s="219"/>
      <c r="R133" s="219"/>
      <c r="S133" s="220"/>
      <c r="T133" s="8"/>
    </row>
    <row r="134" spans="7:20" ht="14.45" customHeight="1">
      <c r="G134" s="216"/>
      <c r="H134" s="221" t="s">
        <v>393</v>
      </c>
      <c r="I134" s="222"/>
      <c r="J134" s="209" t="s">
        <v>394</v>
      </c>
      <c r="K134" s="223"/>
      <c r="L134" s="225"/>
      <c r="M134" s="8"/>
      <c r="N134" s="216"/>
      <c r="O134" s="221" t="s">
        <v>393</v>
      </c>
      <c r="P134" s="222"/>
      <c r="Q134" s="209" t="s">
        <v>394</v>
      </c>
      <c r="R134" s="223"/>
      <c r="S134" s="225"/>
      <c r="T134" s="8"/>
    </row>
    <row r="135" spans="7:20" ht="30">
      <c r="G135" s="217"/>
      <c r="H135" s="185" t="s">
        <v>395</v>
      </c>
      <c r="I135" s="185" t="s">
        <v>373</v>
      </c>
      <c r="J135" s="211"/>
      <c r="K135" s="224"/>
      <c r="L135" s="226"/>
      <c r="M135" s="8"/>
      <c r="N135" s="217"/>
      <c r="O135" s="185" t="s">
        <v>395</v>
      </c>
      <c r="P135" s="185" t="s">
        <v>373</v>
      </c>
      <c r="Q135" s="211"/>
      <c r="R135" s="224"/>
      <c r="S135" s="226"/>
      <c r="T135" s="8"/>
    </row>
    <row r="136" spans="7:20" ht="47.25">
      <c r="G136" s="186">
        <v>3</v>
      </c>
      <c r="H136" s="187">
        <v>2.8</v>
      </c>
      <c r="I136" s="188" t="s">
        <v>396</v>
      </c>
      <c r="J136" s="187">
        <v>0.5</v>
      </c>
      <c r="K136" s="187"/>
      <c r="L136" s="187"/>
      <c r="M136" s="8"/>
      <c r="N136" s="189">
        <v>15</v>
      </c>
      <c r="O136" s="187">
        <v>14.3</v>
      </c>
      <c r="P136" s="209" t="s">
        <v>397</v>
      </c>
      <c r="Q136" s="187">
        <v>1.6</v>
      </c>
      <c r="R136" s="190"/>
      <c r="S136" s="187"/>
      <c r="T136" s="8"/>
    </row>
    <row r="137" spans="7:20" ht="14.45" customHeight="1">
      <c r="G137" s="186">
        <v>4</v>
      </c>
      <c r="H137" s="187">
        <v>3.8</v>
      </c>
      <c r="I137" s="209" t="s">
        <v>398</v>
      </c>
      <c r="J137" s="187">
        <v>0.5</v>
      </c>
      <c r="K137" s="187"/>
      <c r="L137" s="187"/>
      <c r="M137" s="8"/>
      <c r="N137" s="189">
        <v>16</v>
      </c>
      <c r="O137" s="187">
        <v>15.2</v>
      </c>
      <c r="P137" s="210"/>
      <c r="Q137" s="187">
        <v>1.6</v>
      </c>
      <c r="R137" s="187"/>
      <c r="S137" s="187"/>
      <c r="T137" s="8"/>
    </row>
    <row r="138" spans="7:20" ht="15.75">
      <c r="G138" s="186">
        <v>5</v>
      </c>
      <c r="H138" s="187">
        <v>4.8</v>
      </c>
      <c r="I138" s="211"/>
      <c r="J138" s="187">
        <v>0.7</v>
      </c>
      <c r="K138" s="187"/>
      <c r="L138" s="187"/>
      <c r="M138" s="8"/>
      <c r="N138" s="189">
        <v>17</v>
      </c>
      <c r="O138" s="187">
        <v>16.2</v>
      </c>
      <c r="P138" s="210"/>
      <c r="Q138" s="187">
        <v>1.6</v>
      </c>
      <c r="R138" s="187"/>
      <c r="S138" s="187"/>
      <c r="T138" s="8"/>
    </row>
    <row r="139" spans="7:20" ht="14.45" customHeight="1">
      <c r="G139" s="186">
        <v>6</v>
      </c>
      <c r="H139" s="187">
        <v>5.7</v>
      </c>
      <c r="I139" s="209" t="s">
        <v>399</v>
      </c>
      <c r="J139" s="187">
        <v>0.8</v>
      </c>
      <c r="K139" s="190"/>
      <c r="L139" s="187"/>
      <c r="M139" s="8"/>
      <c r="N139" s="189">
        <v>18</v>
      </c>
      <c r="O139" s="186">
        <v>17</v>
      </c>
      <c r="P139" s="211"/>
      <c r="Q139" s="187">
        <v>1.6</v>
      </c>
      <c r="R139" s="187"/>
      <c r="S139" s="187"/>
      <c r="T139" s="8"/>
    </row>
    <row r="140" spans="7:20" ht="14.45" customHeight="1">
      <c r="G140" s="186">
        <v>7</v>
      </c>
      <c r="H140" s="187">
        <v>6.7</v>
      </c>
      <c r="I140" s="210"/>
      <c r="J140" s="187">
        <v>0.9</v>
      </c>
      <c r="K140" s="190"/>
      <c r="L140" s="187"/>
      <c r="M140" s="8"/>
      <c r="N140" s="189">
        <v>20</v>
      </c>
      <c r="O140" s="186">
        <v>19</v>
      </c>
      <c r="P140" s="209" t="s">
        <v>400</v>
      </c>
      <c r="Q140" s="190">
        <v>1.85</v>
      </c>
      <c r="R140" s="187"/>
      <c r="S140" s="187"/>
      <c r="T140" s="8"/>
    </row>
    <row r="141" spans="7:20" ht="15.75">
      <c r="G141" s="186">
        <v>8</v>
      </c>
      <c r="H141" s="187">
        <v>7.6</v>
      </c>
      <c r="I141" s="210"/>
      <c r="J141" s="187">
        <v>0.9</v>
      </c>
      <c r="K141" s="187"/>
      <c r="L141" s="187"/>
      <c r="M141" s="8"/>
      <c r="N141" s="189">
        <v>22</v>
      </c>
      <c r="O141" s="186">
        <v>21</v>
      </c>
      <c r="P141" s="211"/>
      <c r="Q141" s="190">
        <v>1.85</v>
      </c>
      <c r="R141" s="187"/>
      <c r="S141" s="187"/>
      <c r="T141" s="8"/>
    </row>
    <row r="142" spans="7:20" ht="14.45" customHeight="1">
      <c r="G142" s="186">
        <v>9</v>
      </c>
      <c r="H142" s="187">
        <v>8.6</v>
      </c>
      <c r="I142" s="210"/>
      <c r="J142" s="187">
        <v>1.1000000000000001</v>
      </c>
      <c r="K142" s="187"/>
      <c r="L142" s="187"/>
      <c r="M142" s="8"/>
      <c r="N142" s="189">
        <v>24</v>
      </c>
      <c r="O142" s="187">
        <v>22.9</v>
      </c>
      <c r="P142" s="209" t="s">
        <v>401</v>
      </c>
      <c r="Q142" s="190">
        <v>1.85</v>
      </c>
      <c r="R142" s="190"/>
      <c r="S142" s="187"/>
      <c r="T142" s="8"/>
    </row>
    <row r="143" spans="7:20" ht="15.75">
      <c r="G143" s="186">
        <v>10</v>
      </c>
      <c r="H143" s="187">
        <v>9.6</v>
      </c>
      <c r="I143" s="211"/>
      <c r="J143" s="187">
        <v>1.1000000000000001</v>
      </c>
      <c r="K143" s="187"/>
      <c r="L143" s="187"/>
      <c r="M143" s="8"/>
      <c r="N143" s="189">
        <v>25</v>
      </c>
      <c r="O143" s="187">
        <v>23.9</v>
      </c>
      <c r="P143" s="210"/>
      <c r="Q143" s="190">
        <v>2.15</v>
      </c>
      <c r="R143" s="190"/>
      <c r="S143" s="187"/>
      <c r="T143" s="8"/>
    </row>
    <row r="144" spans="7:20" ht="14.45" customHeight="1">
      <c r="G144" s="186">
        <v>11</v>
      </c>
      <c r="H144" s="187">
        <v>10.5</v>
      </c>
      <c r="I144" s="212" t="s">
        <v>402</v>
      </c>
      <c r="J144" s="187">
        <v>1.1000000000000001</v>
      </c>
      <c r="K144" s="190"/>
      <c r="L144" s="187"/>
      <c r="M144" s="8"/>
      <c r="N144" s="189">
        <v>28</v>
      </c>
      <c r="O144" s="187">
        <v>26.6</v>
      </c>
      <c r="P144" s="210"/>
      <c r="Q144" s="190">
        <v>2.15</v>
      </c>
      <c r="R144" s="187"/>
      <c r="S144" s="187"/>
      <c r="T144" s="8"/>
    </row>
    <row r="145" spans="7:20" ht="15.75">
      <c r="G145" s="186">
        <v>12</v>
      </c>
      <c r="H145" s="187">
        <v>11.5</v>
      </c>
      <c r="I145" s="213"/>
      <c r="J145" s="187">
        <v>1.1000000000000001</v>
      </c>
      <c r="K145" s="190"/>
      <c r="L145" s="187"/>
      <c r="M145" s="8"/>
      <c r="N145" s="189">
        <v>30</v>
      </c>
      <c r="O145" s="187">
        <v>28.6</v>
      </c>
      <c r="P145" s="211"/>
      <c r="Q145" s="190">
        <v>2.15</v>
      </c>
      <c r="R145" s="187"/>
      <c r="S145" s="187"/>
      <c r="T145" s="8"/>
    </row>
    <row r="146" spans="7:20" ht="14.45" customHeight="1">
      <c r="G146" s="186">
        <v>13</v>
      </c>
      <c r="H146" s="187">
        <v>12.4</v>
      </c>
      <c r="I146" s="213"/>
      <c r="J146" s="187">
        <v>1.1000000000000001</v>
      </c>
      <c r="K146" s="187"/>
      <c r="L146" s="187"/>
      <c r="M146" s="8"/>
      <c r="N146" s="189">
        <v>32</v>
      </c>
      <c r="O146" s="187">
        <v>30.3</v>
      </c>
      <c r="P146" s="212" t="s">
        <v>403</v>
      </c>
      <c r="Q146" s="190">
        <v>2.15</v>
      </c>
      <c r="R146" s="190"/>
      <c r="S146" s="187"/>
      <c r="T146" s="8"/>
    </row>
    <row r="147" spans="7:20" ht="15.75">
      <c r="G147" s="186">
        <v>14</v>
      </c>
      <c r="H147" s="187">
        <v>13.4</v>
      </c>
      <c r="I147" s="213"/>
      <c r="J147" s="187">
        <v>1.1000000000000001</v>
      </c>
      <c r="K147" s="187"/>
      <c r="L147" s="187"/>
      <c r="M147" s="8"/>
      <c r="N147" s="189">
        <v>34</v>
      </c>
      <c r="O147" s="187">
        <v>32.299999999999997</v>
      </c>
      <c r="P147" s="213"/>
      <c r="Q147" s="190">
        <v>2.65</v>
      </c>
      <c r="R147" s="190"/>
      <c r="S147" s="187"/>
      <c r="T147" s="8"/>
    </row>
    <row r="148" spans="7:20" ht="15.75">
      <c r="G148" s="186">
        <v>15</v>
      </c>
      <c r="H148" s="187">
        <v>14.3</v>
      </c>
      <c r="I148" s="213"/>
      <c r="J148" s="187">
        <v>1.1000000000000001</v>
      </c>
      <c r="K148" s="190"/>
      <c r="L148" s="187"/>
      <c r="M148" s="8"/>
      <c r="N148" s="189">
        <v>35</v>
      </c>
      <c r="O148" s="186">
        <v>33</v>
      </c>
      <c r="P148" s="213"/>
      <c r="Q148" s="190">
        <v>2.65</v>
      </c>
      <c r="R148" s="186"/>
      <c r="S148" s="186"/>
      <c r="T148" s="8"/>
    </row>
    <row r="149" spans="7:20" ht="15.75">
      <c r="G149" s="186">
        <v>16</v>
      </c>
      <c r="H149" s="187">
        <v>15.2</v>
      </c>
      <c r="I149" s="213"/>
      <c r="J149" s="187">
        <v>1.1000000000000001</v>
      </c>
      <c r="K149" s="187"/>
      <c r="L149" s="187"/>
      <c r="M149" s="8"/>
      <c r="N149" s="189">
        <v>38</v>
      </c>
      <c r="O149" s="186">
        <v>36</v>
      </c>
      <c r="P149" s="213"/>
      <c r="Q149" s="190">
        <v>2.65</v>
      </c>
      <c r="R149" s="186"/>
      <c r="S149" s="186"/>
      <c r="T149" s="8"/>
    </row>
    <row r="150" spans="7:20" ht="15.75">
      <c r="G150" s="186">
        <v>17</v>
      </c>
      <c r="H150" s="187">
        <v>16.2</v>
      </c>
      <c r="I150" s="213"/>
      <c r="J150" s="187">
        <v>1.1000000000000001</v>
      </c>
      <c r="K150" s="187"/>
      <c r="L150" s="187"/>
      <c r="M150" s="8"/>
      <c r="N150" s="189">
        <v>40</v>
      </c>
      <c r="O150" s="187">
        <v>37.5</v>
      </c>
      <c r="P150" s="213"/>
      <c r="Q150" s="190">
        <v>2.65</v>
      </c>
      <c r="R150" s="190"/>
      <c r="S150" s="187"/>
      <c r="T150" s="8"/>
    </row>
    <row r="151" spans="7:20" ht="15.75">
      <c r="G151" s="186">
        <v>18</v>
      </c>
      <c r="H151" s="186">
        <v>17</v>
      </c>
      <c r="I151" s="213"/>
      <c r="J151" s="187">
        <v>1.3</v>
      </c>
      <c r="K151" s="187"/>
      <c r="L151" s="187"/>
      <c r="M151" s="8"/>
      <c r="N151" s="189">
        <v>42</v>
      </c>
      <c r="O151" s="187">
        <v>39.5</v>
      </c>
      <c r="P151" s="213"/>
      <c r="Q151" s="190">
        <v>2.65</v>
      </c>
      <c r="R151" s="190"/>
      <c r="S151" s="187"/>
      <c r="T151" s="8"/>
    </row>
    <row r="152" spans="7:20" ht="15.75">
      <c r="G152" s="186">
        <v>19</v>
      </c>
      <c r="H152" s="186">
        <v>18</v>
      </c>
      <c r="I152" s="214"/>
      <c r="J152" s="187">
        <v>1.3</v>
      </c>
      <c r="K152" s="187"/>
      <c r="L152" s="187"/>
      <c r="M152" s="8"/>
      <c r="N152" s="189">
        <v>45</v>
      </c>
      <c r="O152" s="187">
        <v>42.5</v>
      </c>
      <c r="P152" s="213"/>
      <c r="Q152" s="190">
        <v>2.65</v>
      </c>
      <c r="R152" s="190"/>
      <c r="S152" s="187"/>
      <c r="T152" s="8"/>
    </row>
    <row r="153" spans="7:20" ht="14.45" customHeight="1">
      <c r="G153" s="186">
        <v>20</v>
      </c>
      <c r="H153" s="186">
        <v>19</v>
      </c>
      <c r="I153" s="209" t="s">
        <v>404</v>
      </c>
      <c r="J153" s="187">
        <v>1.3</v>
      </c>
      <c r="K153" s="187"/>
      <c r="L153" s="187"/>
      <c r="M153" s="8"/>
      <c r="N153" s="189">
        <v>48</v>
      </c>
      <c r="O153" s="187">
        <v>45.5</v>
      </c>
      <c r="P153" s="213"/>
      <c r="Q153" s="190">
        <v>2.65</v>
      </c>
      <c r="R153" s="190"/>
      <c r="S153" s="187"/>
      <c r="T153" s="8"/>
    </row>
    <row r="154" spans="7:20" ht="15.75">
      <c r="G154" s="186">
        <v>21</v>
      </c>
      <c r="H154" s="186">
        <v>20</v>
      </c>
      <c r="I154" s="210"/>
      <c r="J154" s="187">
        <v>1.3</v>
      </c>
      <c r="K154" s="187"/>
      <c r="L154" s="187"/>
      <c r="M154" s="8"/>
      <c r="N154" s="189">
        <v>50</v>
      </c>
      <c r="O154" s="186">
        <v>47</v>
      </c>
      <c r="P154" s="213"/>
      <c r="Q154" s="190">
        <v>3.15</v>
      </c>
      <c r="R154" s="187"/>
      <c r="S154" s="187"/>
      <c r="T154" s="8"/>
    </row>
    <row r="155" spans="7:20" ht="15.75">
      <c r="G155" s="186">
        <v>22</v>
      </c>
      <c r="H155" s="186">
        <v>21</v>
      </c>
      <c r="I155" s="211"/>
      <c r="J155" s="187">
        <v>1.3</v>
      </c>
      <c r="K155" s="187"/>
      <c r="L155" s="187"/>
      <c r="M155" s="8"/>
      <c r="N155" s="189">
        <v>52</v>
      </c>
      <c r="O155" s="186">
        <v>49</v>
      </c>
      <c r="P155" s="214"/>
      <c r="Q155" s="190">
        <v>3.15</v>
      </c>
      <c r="R155" s="187"/>
      <c r="S155" s="187"/>
      <c r="T155" s="8"/>
    </row>
    <row r="156" spans="7:20" ht="14.45" customHeight="1">
      <c r="G156" s="186">
        <v>24</v>
      </c>
      <c r="H156" s="187">
        <v>22.9</v>
      </c>
      <c r="I156" s="209" t="s">
        <v>405</v>
      </c>
      <c r="J156" s="187">
        <v>1.3</v>
      </c>
      <c r="K156" s="191"/>
      <c r="L156" s="187"/>
      <c r="M156" s="8"/>
      <c r="N156" s="189">
        <v>55</v>
      </c>
      <c r="O156" s="186">
        <v>52</v>
      </c>
      <c r="P156" s="212" t="s">
        <v>406</v>
      </c>
      <c r="Q156" s="190">
        <v>3.15</v>
      </c>
      <c r="R156" s="187"/>
      <c r="S156" s="187"/>
      <c r="T156" s="8"/>
    </row>
    <row r="157" spans="7:20" ht="15.75">
      <c r="G157" s="186">
        <v>25</v>
      </c>
      <c r="H157" s="187">
        <v>23.9</v>
      </c>
      <c r="I157" s="210"/>
      <c r="J157" s="187">
        <v>1.3</v>
      </c>
      <c r="K157" s="190"/>
      <c r="L157" s="187"/>
      <c r="M157" s="8"/>
      <c r="N157" s="189">
        <v>58</v>
      </c>
      <c r="O157" s="186">
        <v>55</v>
      </c>
      <c r="P157" s="213"/>
      <c r="Q157" s="190">
        <v>3.15</v>
      </c>
      <c r="R157" s="187"/>
      <c r="S157" s="187"/>
      <c r="T157" s="8"/>
    </row>
    <row r="158" spans="7:20" ht="15.75">
      <c r="G158" s="186">
        <v>26</v>
      </c>
      <c r="H158" s="187">
        <v>24.9</v>
      </c>
      <c r="I158" s="210"/>
      <c r="J158" s="187">
        <v>1.3</v>
      </c>
      <c r="K158" s="190"/>
      <c r="L158" s="187"/>
      <c r="M158" s="8"/>
      <c r="N158" s="189">
        <v>60</v>
      </c>
      <c r="O158" s="186">
        <v>57</v>
      </c>
      <c r="P158" s="213"/>
      <c r="Q158" s="190">
        <v>3.15</v>
      </c>
      <c r="R158" s="187"/>
      <c r="S158" s="187"/>
      <c r="T158" s="8"/>
    </row>
    <row r="159" spans="7:20" ht="15.75">
      <c r="G159" s="186">
        <v>28</v>
      </c>
      <c r="H159" s="187">
        <v>26.6</v>
      </c>
      <c r="I159" s="210"/>
      <c r="J159" s="187">
        <v>1.6</v>
      </c>
      <c r="K159" s="191"/>
      <c r="L159" s="187"/>
      <c r="M159" s="8"/>
      <c r="N159" s="189">
        <v>65</v>
      </c>
      <c r="O159" s="186">
        <v>62</v>
      </c>
      <c r="P159" s="213"/>
      <c r="Q159" s="190">
        <v>4.1500000000000004</v>
      </c>
      <c r="R159" s="187"/>
      <c r="S159" s="187"/>
      <c r="T159" s="8"/>
    </row>
    <row r="160" spans="7:20" ht="15.75">
      <c r="G160" s="186">
        <v>29</v>
      </c>
      <c r="H160" s="187">
        <v>27.6</v>
      </c>
      <c r="I160" s="210"/>
      <c r="J160" s="187">
        <v>1.6</v>
      </c>
      <c r="K160" s="187"/>
      <c r="L160" s="187"/>
      <c r="M160" s="8"/>
      <c r="N160" s="189">
        <v>70</v>
      </c>
      <c r="O160" s="186">
        <v>67</v>
      </c>
      <c r="P160" s="213"/>
      <c r="Q160" s="190">
        <v>4.1500000000000004</v>
      </c>
      <c r="R160" s="187"/>
      <c r="S160" s="187"/>
      <c r="T160" s="8"/>
    </row>
    <row r="161" spans="7:20" ht="15.75">
      <c r="G161" s="186">
        <v>30</v>
      </c>
      <c r="H161" s="187">
        <v>28.6</v>
      </c>
      <c r="I161" s="211"/>
      <c r="J161" s="187">
        <v>1.6</v>
      </c>
      <c r="K161" s="187"/>
      <c r="L161" s="187"/>
      <c r="M161" s="8"/>
      <c r="N161" s="189">
        <v>75</v>
      </c>
      <c r="O161" s="186">
        <v>72</v>
      </c>
      <c r="P161" s="213"/>
      <c r="Q161" s="190">
        <v>4.1500000000000004</v>
      </c>
      <c r="R161" s="187"/>
      <c r="S161" s="187"/>
      <c r="T161" s="8"/>
    </row>
    <row r="162" spans="7:20" ht="14.45" customHeight="1">
      <c r="G162" s="186">
        <v>32</v>
      </c>
      <c r="H162" s="187">
        <v>30.3</v>
      </c>
      <c r="I162" s="212" t="s">
        <v>407</v>
      </c>
      <c r="J162" s="187">
        <v>1.6</v>
      </c>
      <c r="K162" s="190"/>
      <c r="L162" s="187"/>
      <c r="M162" s="8"/>
      <c r="N162" s="189">
        <v>80</v>
      </c>
      <c r="O162" s="187">
        <v>76.5</v>
      </c>
      <c r="P162" s="214"/>
      <c r="Q162" s="190">
        <v>4.1500000000000004</v>
      </c>
      <c r="R162" s="190"/>
      <c r="S162" s="187"/>
      <c r="T162" s="8"/>
    </row>
    <row r="163" spans="7:20" ht="14.45" customHeight="1">
      <c r="G163" s="186">
        <v>34</v>
      </c>
      <c r="H163" s="187">
        <v>31.3</v>
      </c>
      <c r="I163" s="213"/>
      <c r="J163" s="187">
        <v>1.6</v>
      </c>
      <c r="K163" s="190"/>
      <c r="L163" s="187"/>
      <c r="M163" s="8"/>
      <c r="N163" s="189">
        <v>85</v>
      </c>
      <c r="O163" s="187">
        <v>81.5</v>
      </c>
      <c r="P163" s="209" t="s">
        <v>408</v>
      </c>
      <c r="Q163" s="190">
        <v>4.1500000000000004</v>
      </c>
      <c r="R163" s="190"/>
      <c r="S163" s="187"/>
      <c r="T163" s="8"/>
    </row>
    <row r="164" spans="7:20" ht="15.75">
      <c r="G164" s="186">
        <v>35</v>
      </c>
      <c r="H164" s="186">
        <v>33</v>
      </c>
      <c r="I164" s="213"/>
      <c r="J164" s="187">
        <v>1.6</v>
      </c>
      <c r="K164" s="186"/>
      <c r="L164" s="186"/>
      <c r="M164" s="8"/>
      <c r="N164" s="189">
        <v>90</v>
      </c>
      <c r="O164" s="187">
        <v>86.5</v>
      </c>
      <c r="P164" s="210"/>
      <c r="Q164" s="190">
        <v>4.1500000000000004</v>
      </c>
      <c r="R164" s="190"/>
      <c r="S164" s="187"/>
      <c r="T164" s="8"/>
    </row>
    <row r="165" spans="7:20" ht="15.75">
      <c r="G165" s="186">
        <v>36</v>
      </c>
      <c r="H165" s="186">
        <v>34</v>
      </c>
      <c r="I165" s="213"/>
      <c r="J165" s="190">
        <v>1.85</v>
      </c>
      <c r="K165" s="186"/>
      <c r="L165" s="186"/>
      <c r="M165" s="8"/>
      <c r="N165" s="189">
        <v>100</v>
      </c>
      <c r="O165" s="187">
        <v>96.5</v>
      </c>
      <c r="P165" s="211"/>
      <c r="Q165" s="190">
        <v>4.1500000000000004</v>
      </c>
      <c r="R165" s="190"/>
      <c r="S165" s="187"/>
      <c r="T165" s="8"/>
    </row>
    <row r="166" spans="7:20" ht="15.75">
      <c r="G166" s="186">
        <v>38</v>
      </c>
      <c r="H166" s="186">
        <v>36</v>
      </c>
      <c r="I166" s="213"/>
      <c r="J166" s="190">
        <v>1.85</v>
      </c>
      <c r="K166" s="186"/>
      <c r="L166" s="186"/>
      <c r="M166" s="8"/>
      <c r="N166" s="8"/>
      <c r="O166" s="8"/>
      <c r="P166" s="8"/>
      <c r="Q166" s="8"/>
      <c r="R166" s="8"/>
      <c r="S166" s="8"/>
      <c r="T166" s="8"/>
    </row>
    <row r="167" spans="7:20" ht="15.75">
      <c r="G167" s="186">
        <v>40</v>
      </c>
      <c r="H167" s="187">
        <v>37.5</v>
      </c>
      <c r="I167" s="213"/>
      <c r="J167" s="190">
        <v>1.85</v>
      </c>
      <c r="K167" s="190"/>
      <c r="L167" s="187"/>
      <c r="M167" s="8"/>
      <c r="N167" s="8"/>
      <c r="O167" s="8"/>
      <c r="P167" s="8"/>
      <c r="Q167" s="8"/>
      <c r="R167" s="8"/>
      <c r="S167" s="8"/>
      <c r="T167" s="8"/>
    </row>
    <row r="168" spans="7:20" ht="15.75">
      <c r="G168" s="186">
        <v>42</v>
      </c>
      <c r="H168" s="187">
        <v>39.5</v>
      </c>
      <c r="I168" s="213"/>
      <c r="J168" s="190">
        <v>1.85</v>
      </c>
      <c r="K168" s="190"/>
      <c r="L168" s="187"/>
      <c r="M168" s="8"/>
      <c r="N168" s="8"/>
      <c r="O168" s="8"/>
      <c r="P168" s="8"/>
      <c r="Q168" s="8"/>
      <c r="R168" s="8"/>
      <c r="S168" s="8"/>
      <c r="T168" s="8"/>
    </row>
    <row r="169" spans="7:20" ht="15.75">
      <c r="G169" s="186">
        <v>45</v>
      </c>
      <c r="H169" s="187">
        <v>42.5</v>
      </c>
      <c r="I169" s="213"/>
      <c r="J169" s="190">
        <v>1.85</v>
      </c>
      <c r="K169" s="190"/>
      <c r="L169" s="187"/>
      <c r="M169" s="8"/>
      <c r="N169" s="8"/>
      <c r="O169" s="8"/>
      <c r="P169" s="8"/>
      <c r="Q169" s="8"/>
      <c r="R169" s="8"/>
      <c r="S169" s="8"/>
      <c r="T169" s="8"/>
    </row>
    <row r="170" spans="7:20" ht="15.75">
      <c r="G170" s="186">
        <v>48</v>
      </c>
      <c r="H170" s="187">
        <v>45.5</v>
      </c>
      <c r="I170" s="213"/>
      <c r="J170" s="190">
        <v>1.85</v>
      </c>
      <c r="K170" s="190"/>
      <c r="L170" s="187"/>
      <c r="M170" s="8"/>
      <c r="N170" s="8"/>
      <c r="O170" s="8"/>
      <c r="P170" s="8"/>
      <c r="Q170" s="8"/>
      <c r="R170" s="8"/>
      <c r="S170" s="8"/>
      <c r="T170" s="8"/>
    </row>
    <row r="171" spans="7:20" ht="15.75">
      <c r="G171" s="186">
        <v>50</v>
      </c>
      <c r="H171" s="186">
        <v>47</v>
      </c>
      <c r="I171" s="213"/>
      <c r="J171" s="190">
        <v>2.15</v>
      </c>
      <c r="K171" s="187"/>
      <c r="L171" s="187"/>
      <c r="M171" s="8"/>
      <c r="N171" s="8"/>
      <c r="O171" s="8"/>
      <c r="P171" s="8"/>
      <c r="Q171" s="8"/>
      <c r="R171" s="8"/>
      <c r="S171" s="8"/>
      <c r="T171" s="8"/>
    </row>
    <row r="172" spans="7:20" ht="15.75">
      <c r="G172" s="186">
        <v>52</v>
      </c>
      <c r="H172" s="186">
        <v>49</v>
      </c>
      <c r="I172" s="214"/>
      <c r="J172" s="190">
        <v>2.15</v>
      </c>
      <c r="K172" s="187"/>
      <c r="L172" s="187"/>
      <c r="M172" s="8"/>
      <c r="N172" s="8"/>
      <c r="O172" s="8"/>
      <c r="P172" s="8"/>
      <c r="Q172" s="8"/>
      <c r="R172" s="8"/>
      <c r="S172" s="8"/>
      <c r="T172" s="8"/>
    </row>
    <row r="173" spans="7:20" ht="14.45" customHeight="1">
      <c r="G173" s="186">
        <v>55</v>
      </c>
      <c r="H173" s="186">
        <v>52</v>
      </c>
      <c r="I173" s="212" t="s">
        <v>409</v>
      </c>
      <c r="J173" s="190">
        <v>2.15</v>
      </c>
      <c r="K173" s="187"/>
      <c r="L173" s="187"/>
      <c r="M173" s="8"/>
      <c r="N173" s="8"/>
      <c r="O173" s="8"/>
      <c r="P173" s="8"/>
      <c r="Q173" s="8"/>
      <c r="R173" s="8"/>
      <c r="S173" s="8"/>
      <c r="T173" s="8"/>
    </row>
    <row r="174" spans="7:20" ht="15.75">
      <c r="G174" s="186">
        <v>56</v>
      </c>
      <c r="H174" s="186">
        <v>53</v>
      </c>
      <c r="I174" s="213"/>
      <c r="J174" s="190">
        <v>2.15</v>
      </c>
      <c r="K174" s="187"/>
      <c r="L174" s="187"/>
      <c r="M174" s="8"/>
      <c r="N174" s="8"/>
      <c r="O174" s="8"/>
      <c r="P174" s="8"/>
      <c r="Q174" s="8"/>
      <c r="R174" s="8"/>
      <c r="S174" s="8"/>
      <c r="T174" s="8"/>
    </row>
    <row r="175" spans="7:20" ht="15.75">
      <c r="G175" s="186">
        <v>58</v>
      </c>
      <c r="H175" s="186">
        <v>55</v>
      </c>
      <c r="I175" s="213"/>
      <c r="J175" s="190">
        <v>2.15</v>
      </c>
      <c r="K175" s="187"/>
      <c r="L175" s="187"/>
      <c r="M175" s="8"/>
      <c r="N175" s="8"/>
      <c r="O175" s="8"/>
      <c r="P175" s="8"/>
      <c r="Q175" s="8"/>
      <c r="R175" s="8"/>
      <c r="S175" s="8"/>
      <c r="T175" s="8"/>
    </row>
    <row r="176" spans="7:20" ht="15.75">
      <c r="G176" s="186">
        <v>60</v>
      </c>
      <c r="H176" s="186">
        <v>57</v>
      </c>
      <c r="I176" s="213"/>
      <c r="J176" s="190">
        <v>2.15</v>
      </c>
      <c r="K176" s="187"/>
      <c r="L176" s="187"/>
      <c r="M176" s="8"/>
      <c r="N176" s="8"/>
      <c r="O176" s="8"/>
      <c r="P176" s="8"/>
      <c r="Q176" s="8"/>
      <c r="R176" s="8"/>
      <c r="S176" s="8"/>
      <c r="T176" s="8"/>
    </row>
    <row r="177" spans="7:20" ht="15.75">
      <c r="G177" s="186">
        <v>62</v>
      </c>
      <c r="H177" s="186">
        <v>59</v>
      </c>
      <c r="I177" s="213"/>
      <c r="J177" s="190">
        <v>2.15</v>
      </c>
      <c r="K177" s="187"/>
      <c r="L177" s="187"/>
      <c r="M177" s="8"/>
      <c r="N177" s="8"/>
      <c r="O177" s="8"/>
      <c r="P177" s="8"/>
      <c r="Q177" s="8"/>
      <c r="R177" s="8"/>
      <c r="S177" s="8"/>
      <c r="T177" s="8"/>
    </row>
    <row r="178" spans="7:20" ht="15.75">
      <c r="G178" s="186">
        <v>63</v>
      </c>
      <c r="H178" s="186">
        <v>60</v>
      </c>
      <c r="I178" s="213"/>
      <c r="J178" s="190">
        <v>2.15</v>
      </c>
      <c r="K178" s="187"/>
      <c r="L178" s="187"/>
      <c r="M178" s="8"/>
      <c r="N178" s="8"/>
      <c r="O178" s="8"/>
      <c r="P178" s="8"/>
      <c r="Q178" s="8"/>
      <c r="R178" s="8"/>
      <c r="S178" s="8"/>
      <c r="T178" s="8"/>
    </row>
    <row r="179" spans="7:20" ht="15.75">
      <c r="G179" s="186">
        <v>65</v>
      </c>
      <c r="H179" s="186">
        <v>62</v>
      </c>
      <c r="I179" s="213"/>
      <c r="J179" s="190">
        <v>2.65</v>
      </c>
      <c r="K179" s="187"/>
      <c r="L179" s="187"/>
      <c r="M179" s="8"/>
      <c r="N179" s="8"/>
      <c r="O179" s="8"/>
      <c r="P179" s="8"/>
      <c r="Q179" s="8"/>
      <c r="R179" s="8"/>
      <c r="S179" s="8"/>
      <c r="T179" s="8"/>
    </row>
    <row r="180" spans="7:20" ht="15.75">
      <c r="G180" s="186">
        <v>68</v>
      </c>
      <c r="H180" s="186">
        <v>65</v>
      </c>
      <c r="I180" s="213"/>
      <c r="J180" s="190">
        <v>2.65</v>
      </c>
      <c r="K180" s="187"/>
      <c r="L180" s="187"/>
      <c r="M180" s="8"/>
      <c r="N180" s="8"/>
      <c r="O180" s="8"/>
      <c r="P180" s="8"/>
      <c r="Q180" s="8"/>
      <c r="R180" s="8"/>
      <c r="S180" s="8"/>
      <c r="T180" s="8"/>
    </row>
    <row r="181" spans="7:20" ht="15.75">
      <c r="G181" s="186">
        <v>70</v>
      </c>
      <c r="H181" s="186">
        <v>67</v>
      </c>
      <c r="I181" s="214"/>
      <c r="J181" s="190">
        <v>2.65</v>
      </c>
      <c r="K181" s="187"/>
      <c r="L181" s="187"/>
      <c r="M181" s="8"/>
      <c r="N181" s="8"/>
      <c r="O181" s="8"/>
      <c r="P181" s="8"/>
      <c r="Q181" s="8"/>
      <c r="R181" s="8"/>
      <c r="S181" s="8"/>
      <c r="T181" s="8"/>
    </row>
    <row r="182" spans="7:20" ht="14.45" customHeight="1">
      <c r="G182" s="186">
        <v>72</v>
      </c>
      <c r="H182" s="186">
        <v>69</v>
      </c>
      <c r="I182" s="209" t="s">
        <v>410</v>
      </c>
      <c r="J182" s="190">
        <v>2.65</v>
      </c>
      <c r="K182" s="187"/>
      <c r="L182" s="187"/>
      <c r="M182" s="8"/>
      <c r="N182" s="8"/>
      <c r="O182" s="8"/>
      <c r="P182" s="8"/>
      <c r="Q182" s="8"/>
      <c r="R182" s="8"/>
      <c r="S182" s="8"/>
      <c r="T182" s="8"/>
    </row>
    <row r="183" spans="7:20" ht="15.75">
      <c r="G183" s="186">
        <v>75</v>
      </c>
      <c r="H183" s="186">
        <v>72</v>
      </c>
      <c r="I183" s="210"/>
      <c r="J183" s="190">
        <v>2.65</v>
      </c>
      <c r="K183" s="187"/>
      <c r="L183" s="187"/>
      <c r="M183" s="8"/>
      <c r="N183" s="8"/>
      <c r="O183" s="8"/>
      <c r="P183" s="8"/>
      <c r="Q183" s="8"/>
      <c r="R183" s="8"/>
      <c r="S183" s="8"/>
      <c r="T183" s="8"/>
    </row>
    <row r="184" spans="7:20" ht="15.75">
      <c r="G184" s="186">
        <v>78</v>
      </c>
      <c r="H184" s="186">
        <v>75</v>
      </c>
      <c r="I184" s="210"/>
      <c r="J184" s="190">
        <v>2.65</v>
      </c>
      <c r="K184" s="187"/>
      <c r="L184" s="187"/>
      <c r="M184" s="8"/>
      <c r="N184" s="8"/>
      <c r="O184" s="8"/>
      <c r="P184" s="8"/>
      <c r="Q184" s="8"/>
      <c r="R184" s="8"/>
      <c r="S184" s="8"/>
      <c r="T184" s="8"/>
    </row>
    <row r="185" spans="7:20" ht="15.75">
      <c r="G185" s="186">
        <v>80</v>
      </c>
      <c r="H185" s="187">
        <v>76.5</v>
      </c>
      <c r="I185" s="210"/>
      <c r="J185" s="190">
        <v>2.65</v>
      </c>
      <c r="K185" s="190"/>
      <c r="L185" s="187"/>
      <c r="M185" s="8"/>
      <c r="N185" s="8"/>
      <c r="O185" s="8"/>
      <c r="P185" s="8"/>
      <c r="Q185" s="8"/>
      <c r="R185" s="8"/>
      <c r="S185" s="8"/>
      <c r="T185" s="8"/>
    </row>
    <row r="186" spans="7:20" ht="15.75">
      <c r="G186" s="186">
        <v>82</v>
      </c>
      <c r="H186" s="187">
        <v>78.5</v>
      </c>
      <c r="I186" s="211"/>
      <c r="J186" s="190">
        <v>2.65</v>
      </c>
      <c r="K186" s="190"/>
      <c r="L186" s="187"/>
      <c r="M186" s="8"/>
      <c r="N186" s="8"/>
      <c r="O186" s="8"/>
      <c r="P186" s="8"/>
      <c r="Q186" s="8"/>
      <c r="R186" s="8"/>
      <c r="S186" s="8"/>
      <c r="T186" s="8"/>
    </row>
    <row r="187" spans="7:20" ht="14.45" customHeight="1">
      <c r="G187" s="186">
        <v>85</v>
      </c>
      <c r="H187" s="187">
        <v>81.5</v>
      </c>
      <c r="I187" s="209" t="s">
        <v>408</v>
      </c>
      <c r="J187" s="190">
        <v>3.15</v>
      </c>
      <c r="K187" s="190"/>
      <c r="L187" s="187"/>
      <c r="M187" s="8"/>
      <c r="N187" s="8"/>
      <c r="O187" s="8"/>
      <c r="P187" s="8"/>
      <c r="Q187" s="8"/>
      <c r="R187" s="8"/>
      <c r="S187" s="8"/>
      <c r="T187" s="8"/>
    </row>
    <row r="188" spans="7:20" ht="15.75">
      <c r="G188" s="186">
        <v>88</v>
      </c>
      <c r="H188" s="187">
        <v>84.5</v>
      </c>
      <c r="I188" s="210"/>
      <c r="J188" s="190">
        <v>3.15</v>
      </c>
      <c r="K188" s="190"/>
      <c r="L188" s="187"/>
      <c r="M188" s="8"/>
      <c r="N188" s="8"/>
      <c r="O188" s="8"/>
      <c r="P188" s="8"/>
      <c r="Q188" s="8"/>
      <c r="R188" s="8"/>
      <c r="S188" s="8"/>
      <c r="T188" s="8"/>
    </row>
    <row r="189" spans="7:20" ht="15.75">
      <c r="G189" s="186">
        <v>90</v>
      </c>
      <c r="H189" s="187">
        <v>86.5</v>
      </c>
      <c r="I189" s="210"/>
      <c r="J189" s="190">
        <v>3.15</v>
      </c>
      <c r="K189" s="190"/>
      <c r="L189" s="187"/>
      <c r="M189" s="8"/>
      <c r="N189" s="8"/>
      <c r="O189" s="8"/>
      <c r="P189" s="8"/>
      <c r="Q189" s="8"/>
      <c r="R189" s="8"/>
      <c r="S189" s="8"/>
      <c r="T189" s="8"/>
    </row>
    <row r="190" spans="7:20" ht="15.75">
      <c r="G190" s="186">
        <v>95</v>
      </c>
      <c r="H190" s="187">
        <v>91.5</v>
      </c>
      <c r="I190" s="210"/>
      <c r="J190" s="190">
        <v>3.15</v>
      </c>
      <c r="K190" s="190"/>
      <c r="L190" s="187"/>
      <c r="M190" s="8"/>
      <c r="N190" s="8"/>
      <c r="O190" s="8"/>
      <c r="P190" s="8"/>
      <c r="Q190" s="8"/>
      <c r="R190" s="8"/>
      <c r="S190" s="8"/>
      <c r="T190" s="8"/>
    </row>
    <row r="191" spans="7:20" ht="15.75">
      <c r="G191" s="186">
        <v>100</v>
      </c>
      <c r="H191" s="187">
        <v>96.5</v>
      </c>
      <c r="I191" s="211"/>
      <c r="J191" s="190">
        <v>3.15</v>
      </c>
      <c r="K191" s="190"/>
      <c r="L191" s="187"/>
      <c r="M191" s="8"/>
      <c r="N191" s="8"/>
      <c r="O191" s="8"/>
      <c r="P191" s="8"/>
      <c r="Q191" s="8"/>
      <c r="R191" s="8"/>
      <c r="S191" s="8"/>
      <c r="T191" s="8"/>
    </row>
    <row r="192" spans="7:20" ht="14.45" customHeight="1">
      <c r="G192" s="186">
        <v>105</v>
      </c>
      <c r="H192" s="186">
        <v>101</v>
      </c>
      <c r="I192" s="209" t="s">
        <v>411</v>
      </c>
      <c r="J192" s="190">
        <v>4.1500000000000004</v>
      </c>
      <c r="K192" s="186"/>
      <c r="L192" s="186"/>
      <c r="M192" s="8"/>
      <c r="N192" s="8"/>
      <c r="O192" s="8"/>
      <c r="P192" s="8"/>
      <c r="Q192" s="8"/>
      <c r="R192" s="8"/>
      <c r="S192" s="8"/>
      <c r="T192" s="8"/>
    </row>
    <row r="193" spans="7:20" ht="15.75">
      <c r="G193" s="186">
        <v>110</v>
      </c>
      <c r="H193" s="186">
        <v>106</v>
      </c>
      <c r="I193" s="210"/>
      <c r="J193" s="190">
        <v>4.1500000000000004</v>
      </c>
      <c r="K193" s="186"/>
      <c r="L193" s="186"/>
      <c r="M193" s="8"/>
      <c r="N193" s="8"/>
      <c r="O193" s="8"/>
      <c r="P193" s="8"/>
      <c r="Q193" s="8"/>
      <c r="R193" s="8"/>
      <c r="S193" s="8"/>
      <c r="T193" s="8"/>
    </row>
    <row r="194" spans="7:20" ht="15.75">
      <c r="G194" s="186">
        <v>115</v>
      </c>
      <c r="H194" s="186">
        <v>111</v>
      </c>
      <c r="I194" s="210"/>
      <c r="J194" s="190">
        <v>4.1500000000000004</v>
      </c>
      <c r="K194" s="186"/>
      <c r="L194" s="186"/>
      <c r="M194" s="8"/>
      <c r="N194" s="8"/>
      <c r="O194" s="8"/>
      <c r="P194" s="8"/>
      <c r="Q194" s="8"/>
      <c r="R194" s="8"/>
      <c r="S194" s="8"/>
      <c r="T194" s="8"/>
    </row>
    <row r="195" spans="7:20" ht="15.75">
      <c r="G195" s="186">
        <v>120</v>
      </c>
      <c r="H195" s="186">
        <v>116</v>
      </c>
      <c r="I195" s="211"/>
      <c r="J195" s="190">
        <v>4.1500000000000004</v>
      </c>
      <c r="K195" s="186"/>
      <c r="L195" s="186"/>
      <c r="M195" s="8"/>
      <c r="N195" s="8"/>
      <c r="O195" s="8"/>
      <c r="P195" s="8"/>
      <c r="Q195" s="8"/>
      <c r="R195" s="8"/>
      <c r="S195" s="8"/>
      <c r="T195" s="8"/>
    </row>
    <row r="196" spans="7:20" ht="14.45" customHeight="1">
      <c r="G196" s="186">
        <v>125</v>
      </c>
      <c r="H196" s="186">
        <v>121</v>
      </c>
      <c r="I196" s="212" t="s">
        <v>412</v>
      </c>
      <c r="J196" s="190">
        <v>4.1500000000000004</v>
      </c>
      <c r="K196" s="186"/>
      <c r="L196" s="186"/>
      <c r="M196" s="8"/>
      <c r="N196" s="8"/>
      <c r="O196" s="8"/>
      <c r="P196" s="8"/>
      <c r="Q196" s="8"/>
      <c r="R196" s="8"/>
      <c r="S196" s="8"/>
      <c r="T196" s="8"/>
    </row>
    <row r="197" spans="7:20" ht="15.75">
      <c r="G197" s="186">
        <v>130</v>
      </c>
      <c r="H197" s="186">
        <v>126</v>
      </c>
      <c r="I197" s="213"/>
      <c r="J197" s="190">
        <v>4.1500000000000004</v>
      </c>
      <c r="K197" s="186"/>
      <c r="L197" s="186"/>
      <c r="M197" s="8"/>
      <c r="N197" s="8"/>
      <c r="O197" s="8"/>
      <c r="P197" s="8"/>
      <c r="Q197" s="8"/>
      <c r="R197" s="8"/>
      <c r="S197" s="8"/>
      <c r="T197" s="8"/>
    </row>
    <row r="198" spans="7:20" ht="15.75">
      <c r="G198" s="186">
        <v>135</v>
      </c>
      <c r="H198" s="186">
        <v>131</v>
      </c>
      <c r="I198" s="213"/>
      <c r="J198" s="190">
        <v>4.1500000000000004</v>
      </c>
      <c r="K198" s="186"/>
      <c r="L198" s="186"/>
      <c r="M198" s="8"/>
      <c r="N198" s="8"/>
      <c r="O198" s="8"/>
      <c r="P198" s="8"/>
      <c r="Q198" s="8"/>
      <c r="R198" s="8"/>
      <c r="S198" s="8"/>
      <c r="T198" s="8"/>
    </row>
    <row r="199" spans="7:20" ht="15.75">
      <c r="G199" s="186">
        <v>140</v>
      </c>
      <c r="H199" s="186">
        <v>136</v>
      </c>
      <c r="I199" s="213"/>
      <c r="J199" s="190">
        <v>4.1500000000000004</v>
      </c>
      <c r="K199" s="186"/>
      <c r="L199" s="186"/>
      <c r="M199" s="8"/>
      <c r="N199" s="8"/>
      <c r="O199" s="8"/>
      <c r="P199" s="8"/>
      <c r="Q199" s="8"/>
      <c r="R199" s="8"/>
      <c r="S199" s="8"/>
      <c r="T199" s="8"/>
    </row>
    <row r="200" spans="7:20" ht="15.75">
      <c r="G200" s="186">
        <v>145</v>
      </c>
      <c r="H200" s="186">
        <v>141</v>
      </c>
      <c r="I200" s="213"/>
      <c r="J200" s="190">
        <v>4.1500000000000004</v>
      </c>
      <c r="K200" s="186"/>
      <c r="L200" s="186"/>
      <c r="M200" s="8"/>
      <c r="N200" s="8"/>
      <c r="O200" s="8"/>
      <c r="P200" s="8"/>
      <c r="Q200" s="8"/>
      <c r="R200" s="8"/>
      <c r="S200" s="8"/>
      <c r="T200" s="8"/>
    </row>
    <row r="201" spans="7:20" ht="15.75">
      <c r="G201" s="186">
        <v>150</v>
      </c>
      <c r="H201" s="186">
        <v>145</v>
      </c>
      <c r="I201" s="213"/>
      <c r="J201" s="190">
        <v>4.1500000000000004</v>
      </c>
      <c r="K201" s="187"/>
      <c r="L201" s="187"/>
      <c r="M201" s="8"/>
      <c r="N201" s="8"/>
      <c r="O201" s="8"/>
      <c r="P201" s="8"/>
      <c r="Q201" s="8"/>
      <c r="R201" s="8"/>
      <c r="S201" s="8"/>
      <c r="T201" s="8"/>
    </row>
    <row r="202" spans="7:20" ht="15.75">
      <c r="G202" s="186">
        <v>155</v>
      </c>
      <c r="H202" s="186">
        <v>150</v>
      </c>
      <c r="I202" s="213"/>
      <c r="J202" s="190">
        <v>4.1500000000000004</v>
      </c>
      <c r="K202" s="187"/>
      <c r="L202" s="187"/>
      <c r="M202" s="8"/>
      <c r="N202" s="8"/>
      <c r="O202" s="8"/>
      <c r="P202" s="8"/>
      <c r="Q202" s="8"/>
      <c r="R202" s="8"/>
      <c r="S202" s="8"/>
      <c r="T202" s="8"/>
    </row>
    <row r="203" spans="7:20" ht="15.75">
      <c r="G203" s="186">
        <v>160</v>
      </c>
      <c r="H203" s="186">
        <v>155</v>
      </c>
      <c r="I203" s="213"/>
      <c r="J203" s="190">
        <v>4.1500000000000004</v>
      </c>
      <c r="K203" s="187"/>
      <c r="L203" s="187"/>
      <c r="M203" s="8"/>
      <c r="N203" s="8"/>
      <c r="O203" s="8"/>
      <c r="P203" s="8"/>
      <c r="Q203" s="8"/>
      <c r="R203" s="8"/>
      <c r="S203" s="8"/>
      <c r="T203" s="8"/>
    </row>
    <row r="204" spans="7:20" ht="15.75">
      <c r="G204" s="186">
        <v>165</v>
      </c>
      <c r="H204" s="186">
        <v>160</v>
      </c>
      <c r="I204" s="213"/>
      <c r="J204" s="190">
        <v>4.1500000000000004</v>
      </c>
      <c r="K204" s="187"/>
      <c r="L204" s="187"/>
      <c r="M204" s="8"/>
      <c r="N204" s="8"/>
      <c r="O204" s="8"/>
      <c r="P204" s="8"/>
      <c r="Q204" s="8"/>
      <c r="R204" s="8"/>
      <c r="S204" s="8"/>
      <c r="T204" s="8"/>
    </row>
    <row r="205" spans="7:20" ht="15.75">
      <c r="G205" s="186">
        <v>170</v>
      </c>
      <c r="H205" s="186">
        <v>165</v>
      </c>
      <c r="I205" s="213"/>
      <c r="J205" s="190">
        <v>4.1500000000000004</v>
      </c>
      <c r="K205" s="187"/>
      <c r="L205" s="187"/>
      <c r="M205" s="8"/>
      <c r="N205" s="8"/>
      <c r="O205" s="8"/>
      <c r="P205" s="8"/>
      <c r="Q205" s="8"/>
      <c r="R205" s="8"/>
      <c r="S205" s="8"/>
      <c r="T205" s="8"/>
    </row>
    <row r="206" spans="7:20" ht="15.75">
      <c r="G206" s="186">
        <v>175</v>
      </c>
      <c r="H206" s="186">
        <v>170</v>
      </c>
      <c r="I206" s="213"/>
      <c r="J206" s="190">
        <v>4.1500000000000004</v>
      </c>
      <c r="K206" s="187"/>
      <c r="L206" s="187"/>
      <c r="M206" s="8"/>
      <c r="N206" s="8"/>
      <c r="O206" s="8"/>
      <c r="P206" s="8"/>
      <c r="Q206" s="8"/>
      <c r="R206" s="8"/>
      <c r="S206" s="8"/>
      <c r="T206" s="8"/>
    </row>
    <row r="207" spans="7:20" ht="15.75">
      <c r="G207" s="186">
        <v>180</v>
      </c>
      <c r="H207" s="186">
        <v>175</v>
      </c>
      <c r="I207" s="213"/>
      <c r="J207" s="190">
        <v>4.1500000000000004</v>
      </c>
      <c r="K207" s="187"/>
      <c r="L207" s="187"/>
      <c r="M207" s="8"/>
      <c r="N207" s="8"/>
      <c r="O207" s="8"/>
      <c r="P207" s="8"/>
      <c r="Q207" s="8"/>
      <c r="R207" s="8"/>
      <c r="S207" s="8"/>
      <c r="T207" s="8"/>
    </row>
    <row r="208" spans="7:20" ht="15.75">
      <c r="G208" s="186">
        <v>185</v>
      </c>
      <c r="H208" s="186">
        <v>180</v>
      </c>
      <c r="I208" s="214"/>
      <c r="J208" s="190">
        <v>4.1500000000000004</v>
      </c>
      <c r="K208" s="187"/>
      <c r="L208" s="187"/>
      <c r="M208" s="8"/>
      <c r="N208" s="8"/>
      <c r="O208" s="8"/>
      <c r="P208" s="8"/>
      <c r="Q208" s="8"/>
      <c r="R208" s="8"/>
      <c r="S208" s="8"/>
      <c r="T208" s="8"/>
    </row>
    <row r="209" spans="7:20" ht="14.45" customHeight="1">
      <c r="G209" s="186">
        <v>190</v>
      </c>
      <c r="H209" s="186">
        <v>185</v>
      </c>
      <c r="I209" s="209" t="s">
        <v>413</v>
      </c>
      <c r="J209" s="190">
        <v>4.1500000000000004</v>
      </c>
      <c r="K209" s="187"/>
      <c r="L209" s="187"/>
      <c r="M209" s="8"/>
      <c r="N209" s="8"/>
      <c r="O209" s="8"/>
      <c r="P209" s="8"/>
      <c r="Q209" s="8"/>
      <c r="R209" s="8"/>
      <c r="S209" s="8"/>
      <c r="T209" s="8"/>
    </row>
    <row r="210" spans="7:20" ht="15.75">
      <c r="G210" s="186">
        <v>195</v>
      </c>
      <c r="H210" s="186">
        <v>190</v>
      </c>
      <c r="I210" s="210"/>
      <c r="J210" s="190">
        <v>4.1500000000000004</v>
      </c>
      <c r="K210" s="187"/>
      <c r="L210" s="187"/>
      <c r="M210" s="8"/>
      <c r="N210" s="8"/>
      <c r="O210" s="8"/>
      <c r="P210" s="8"/>
      <c r="Q210" s="8"/>
      <c r="R210" s="8"/>
      <c r="S210" s="8"/>
      <c r="T210" s="8"/>
    </row>
    <row r="211" spans="7:20" ht="15.75">
      <c r="G211" s="186">
        <v>200</v>
      </c>
      <c r="H211" s="186">
        <v>195</v>
      </c>
      <c r="I211" s="210"/>
      <c r="J211" s="190">
        <v>4.1500000000000004</v>
      </c>
      <c r="K211" s="187"/>
      <c r="L211" s="187"/>
      <c r="M211" s="8"/>
      <c r="N211" s="8"/>
      <c r="O211" s="8"/>
      <c r="P211" s="8"/>
      <c r="Q211" s="8"/>
      <c r="R211" s="8"/>
      <c r="S211" s="8"/>
      <c r="T211" s="8"/>
    </row>
    <row r="212" spans="7:20" ht="15.75">
      <c r="G212" s="186">
        <v>210</v>
      </c>
      <c r="H212" s="186">
        <v>204</v>
      </c>
      <c r="I212" s="210"/>
      <c r="J212" s="190">
        <v>5.15</v>
      </c>
      <c r="K212" s="186"/>
      <c r="L212" s="186"/>
      <c r="M212" s="8"/>
      <c r="N212" s="8"/>
      <c r="O212" s="8"/>
      <c r="P212" s="8"/>
      <c r="Q212" s="8"/>
      <c r="R212" s="8"/>
      <c r="S212" s="8"/>
      <c r="T212" s="8"/>
    </row>
    <row r="213" spans="7:20" ht="15.75">
      <c r="G213" s="186">
        <v>220</v>
      </c>
      <c r="H213" s="186">
        <v>214</v>
      </c>
      <c r="I213" s="210"/>
      <c r="J213" s="190">
        <v>5.15</v>
      </c>
      <c r="K213" s="186"/>
      <c r="L213" s="186"/>
      <c r="M213" s="8"/>
      <c r="N213" s="8"/>
      <c r="O213" s="8"/>
      <c r="P213" s="8"/>
      <c r="Q213" s="8"/>
      <c r="R213" s="8"/>
      <c r="S213" s="8"/>
      <c r="T213" s="8"/>
    </row>
    <row r="214" spans="7:20" ht="15.75">
      <c r="G214" s="186">
        <v>230</v>
      </c>
      <c r="H214" s="186">
        <v>224</v>
      </c>
      <c r="I214" s="210"/>
      <c r="J214" s="190">
        <v>5.15</v>
      </c>
      <c r="K214" s="186"/>
      <c r="L214" s="186"/>
      <c r="M214" s="8"/>
      <c r="N214" s="8"/>
      <c r="O214" s="8"/>
      <c r="P214" s="8"/>
      <c r="Q214" s="8"/>
      <c r="R214" s="8"/>
      <c r="S214" s="8"/>
      <c r="T214" s="8"/>
    </row>
    <row r="215" spans="7:20" ht="15.75">
      <c r="G215" s="186">
        <v>240</v>
      </c>
      <c r="H215" s="186">
        <v>234</v>
      </c>
      <c r="I215" s="210"/>
      <c r="J215" s="190">
        <v>5.15</v>
      </c>
      <c r="K215" s="186"/>
      <c r="L215" s="186"/>
      <c r="M215" s="8"/>
      <c r="N215" s="8"/>
      <c r="O215" s="8"/>
      <c r="P215" s="8"/>
      <c r="Q215" s="8"/>
      <c r="R215" s="8"/>
      <c r="S215" s="8"/>
      <c r="T215" s="8"/>
    </row>
    <row r="216" spans="7:20" ht="15.75">
      <c r="G216" s="186">
        <v>250</v>
      </c>
      <c r="H216" s="186">
        <v>244</v>
      </c>
      <c r="I216" s="211"/>
      <c r="J216" s="190">
        <v>5.15</v>
      </c>
      <c r="K216" s="186"/>
      <c r="L216" s="186"/>
      <c r="M216" s="8"/>
      <c r="N216" s="8"/>
      <c r="O216" s="8"/>
      <c r="P216" s="8"/>
      <c r="Q216" s="8"/>
      <c r="R216" s="8"/>
      <c r="S216" s="8"/>
      <c r="T216" s="8"/>
    </row>
    <row r="217" spans="7:20" ht="14.45" customHeight="1">
      <c r="G217" s="186">
        <v>260</v>
      </c>
      <c r="H217" s="186">
        <v>252</v>
      </c>
      <c r="I217" s="209" t="s">
        <v>414</v>
      </c>
      <c r="J217" s="190">
        <v>5.15</v>
      </c>
      <c r="K217" s="186"/>
      <c r="L217" s="186"/>
      <c r="M217" s="8"/>
      <c r="N217" s="8"/>
      <c r="O217" s="8"/>
      <c r="P217" s="8"/>
      <c r="Q217" s="8"/>
      <c r="R217" s="8"/>
      <c r="S217" s="8"/>
      <c r="T217" s="8"/>
    </row>
    <row r="218" spans="7:20" ht="15.75">
      <c r="G218" s="186">
        <v>270</v>
      </c>
      <c r="H218" s="186">
        <v>262</v>
      </c>
      <c r="I218" s="210"/>
      <c r="J218" s="190">
        <v>5.15</v>
      </c>
      <c r="K218" s="186"/>
      <c r="L218" s="186"/>
      <c r="M218" s="8"/>
      <c r="N218" s="8"/>
      <c r="O218" s="8"/>
      <c r="P218" s="8"/>
      <c r="Q218" s="8"/>
      <c r="R218" s="8"/>
      <c r="S218" s="8"/>
      <c r="T218" s="8"/>
    </row>
    <row r="219" spans="7:20" ht="15.75">
      <c r="G219" s="186">
        <v>280</v>
      </c>
      <c r="H219" s="186">
        <v>272</v>
      </c>
      <c r="I219" s="210"/>
      <c r="J219" s="190">
        <v>5.15</v>
      </c>
      <c r="K219" s="186"/>
      <c r="L219" s="186"/>
      <c r="M219" s="8"/>
      <c r="N219" s="8"/>
      <c r="O219" s="8"/>
      <c r="P219" s="8"/>
      <c r="Q219" s="8"/>
      <c r="R219" s="8"/>
      <c r="S219" s="8"/>
      <c r="T219" s="8"/>
    </row>
    <row r="220" spans="7:20" ht="15.75">
      <c r="G220" s="186">
        <v>290</v>
      </c>
      <c r="H220" s="186">
        <v>282</v>
      </c>
      <c r="I220" s="210"/>
      <c r="J220" s="190">
        <v>5.15</v>
      </c>
      <c r="K220" s="186"/>
      <c r="L220" s="186"/>
      <c r="M220" s="8"/>
      <c r="N220" s="8"/>
      <c r="O220" s="8"/>
      <c r="P220" s="8"/>
      <c r="Q220" s="8"/>
      <c r="R220" s="8"/>
      <c r="S220" s="8"/>
      <c r="T220" s="8"/>
    </row>
    <row r="221" spans="7:20" ht="15.75">
      <c r="G221" s="186">
        <v>300</v>
      </c>
      <c r="H221" s="186">
        <v>292</v>
      </c>
      <c r="I221" s="211"/>
      <c r="J221" s="190">
        <v>5.15</v>
      </c>
      <c r="K221" s="186"/>
      <c r="L221" s="186"/>
      <c r="M221" s="8"/>
      <c r="N221" s="8"/>
      <c r="O221" s="8"/>
      <c r="P221" s="8"/>
      <c r="Q221" s="8"/>
      <c r="R221" s="8"/>
      <c r="S221" s="8"/>
      <c r="T221" s="8"/>
    </row>
  </sheetData>
  <mergeCells count="37">
    <mergeCell ref="D11:D17"/>
    <mergeCell ref="D34:D37"/>
    <mergeCell ref="D38:D40"/>
    <mergeCell ref="D21:D23"/>
    <mergeCell ref="D28:D33"/>
    <mergeCell ref="D24:D27"/>
    <mergeCell ref="G133:G135"/>
    <mergeCell ref="H133:L133"/>
    <mergeCell ref="H134:I134"/>
    <mergeCell ref="J134:J135"/>
    <mergeCell ref="K134:K135"/>
    <mergeCell ref="L134:L135"/>
    <mergeCell ref="I196:I208"/>
    <mergeCell ref="I209:I216"/>
    <mergeCell ref="I217:I221"/>
    <mergeCell ref="I137:I138"/>
    <mergeCell ref="I139:I143"/>
    <mergeCell ref="I144:I152"/>
    <mergeCell ref="I153:I155"/>
    <mergeCell ref="I156:I161"/>
    <mergeCell ref="I162:I172"/>
    <mergeCell ref="I173:I181"/>
    <mergeCell ref="I182:I186"/>
    <mergeCell ref="I187:I191"/>
    <mergeCell ref="I192:I195"/>
    <mergeCell ref="N133:N135"/>
    <mergeCell ref="O133:S133"/>
    <mergeCell ref="O134:P134"/>
    <mergeCell ref="Q134:Q135"/>
    <mergeCell ref="R134:R135"/>
    <mergeCell ref="S134:S135"/>
    <mergeCell ref="P163:P165"/>
    <mergeCell ref="P136:P139"/>
    <mergeCell ref="P140:P141"/>
    <mergeCell ref="P142:P145"/>
    <mergeCell ref="P146:P155"/>
    <mergeCell ref="P156:P162"/>
  </mergeCells>
  <dataValidations count="13">
    <dataValidation type="list" showInputMessage="1" showErrorMessage="1" sqref="O26:T26 F26:M26 O24:T24 F24:M24">
      <formula1>$E$51:$E$53</formula1>
    </dataValidation>
    <dataValidation type="list" allowBlank="1" showInputMessage="1" showErrorMessage="1" sqref="F28:T29">
      <formula1>$F$51:$F$52</formula1>
    </dataValidation>
    <dataValidation type="list" showInputMessage="1" showErrorMessage="1" sqref="U15:U16 F15:T15">
      <formula1>$D$51:$D$55</formula1>
    </dataValidation>
    <dataValidation type="list" showInputMessage="1" showErrorMessage="1" sqref="F17:U17 F16:T16">
      <formula1>$H$51:$H$52</formula1>
    </dataValidation>
    <dataValidation type="list" allowBlank="1" showInputMessage="1" showErrorMessage="1" sqref="F6">
      <formula1>$F$67:$F$72</formula1>
    </dataValidation>
    <dataValidation type="list" allowBlank="1" showInputMessage="1" showErrorMessage="1" sqref="F14:U14">
      <formula1>$F$91:$F$128</formula1>
    </dataValidation>
    <dataValidation type="list" allowBlank="1" showInputMessage="1" showErrorMessage="1" sqref="F7:F9">
      <formula1>$J$92:$J$105</formula1>
    </dataValidation>
    <dataValidation type="decimal" operator="greaterThan" allowBlank="1" showInputMessage="1" showErrorMessage="1" errorTitle="Input Error!" error="Length should be decimal or whole number. Text and negative values are not allowed." sqref="F13:U13">
      <formula1>0</formula1>
    </dataValidation>
    <dataValidation type="decimal" operator="greaterThan" allowBlank="1" showInputMessage="1" showErrorMessage="1" errorTitle="Input Error!" error="Diameter should be decimal or whole number. Text and negative values are not allowed." sqref="F12:U12">
      <formula1>0</formula1>
    </dataValidation>
    <dataValidation type="decimal" operator="greaterThan" allowBlank="1" showInputMessage="1" showErrorMessage="1" errorTitle="Input Error!" error="Taper Diameter should be decimal or whole number. Text and negative values are not allowed." sqref="F18:U18">
      <formula1>0</formula1>
    </dataValidation>
    <dataValidation type="list" allowBlank="1" showInputMessage="1" showErrorMessage="1" sqref="F19:U20">
      <formula1>$H$51:$H$52</formula1>
    </dataValidation>
    <dataValidation type="list" allowBlank="1" showInputMessage="1" showErrorMessage="1" sqref="F34:U34">
      <formula1>$I$51:$I$55</formula1>
    </dataValidation>
    <dataValidation type="list" allowBlank="1" showInputMessage="1" showErrorMessage="1" sqref="F11:U11">
      <formula1>$J$51:$J$52</formula1>
    </dataValidation>
  </dataValidations>
  <pageMargins left="0.7" right="0.7" top="0.75" bottom="0.75" header="0.3" footer="0.3"/>
  <pageSetup paperSize="8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O283"/>
  <sheetViews>
    <sheetView workbookViewId="0">
      <selection activeCell="M9" sqref="M9"/>
    </sheetView>
  </sheetViews>
  <sheetFormatPr defaultRowHeight="15"/>
  <cols>
    <col min="2" max="2" width="5.140625" bestFit="1" customWidth="1"/>
    <col min="3" max="3" width="35.7109375" customWidth="1"/>
    <col min="4" max="4" width="9.5703125" bestFit="1" customWidth="1"/>
    <col min="5" max="5" width="10" customWidth="1"/>
    <col min="6" max="6" width="9.85546875" customWidth="1"/>
    <col min="7" max="7" width="19.28515625" customWidth="1"/>
    <col min="9" max="9" width="12.85546875" customWidth="1"/>
    <col min="17" max="17" width="11.28515625" customWidth="1"/>
  </cols>
  <sheetData>
    <row r="1" spans="2:11" ht="15.75" thickBot="1">
      <c r="B1" s="284" t="s">
        <v>96</v>
      </c>
      <c r="C1" s="285"/>
      <c r="D1" s="285"/>
      <c r="E1" s="285"/>
      <c r="F1" s="286"/>
    </row>
    <row r="2" spans="2:11" ht="15.75" thickBot="1">
      <c r="E2" s="287" t="s">
        <v>97</v>
      </c>
      <c r="F2" s="288"/>
      <c r="G2" s="16"/>
      <c r="H2" s="17" t="s">
        <v>98</v>
      </c>
      <c r="I2" s="18"/>
      <c r="J2" s="19">
        <v>2</v>
      </c>
    </row>
    <row r="3" spans="2:11" ht="15.75" thickBot="1">
      <c r="B3" s="289" t="s">
        <v>99</v>
      </c>
      <c r="C3" s="290"/>
      <c r="D3" s="291"/>
      <c r="E3" s="292"/>
      <c r="F3" s="293"/>
      <c r="G3" s="20"/>
      <c r="H3" s="21" t="s">
        <v>100</v>
      </c>
      <c r="I3" s="21"/>
      <c r="J3" s="19">
        <v>1E-3</v>
      </c>
      <c r="K3" t="s">
        <v>101</v>
      </c>
    </row>
    <row r="4" spans="2:11">
      <c r="B4" s="22" t="s">
        <v>102</v>
      </c>
      <c r="C4" s="23" t="s">
        <v>103</v>
      </c>
      <c r="D4" s="24"/>
      <c r="E4" s="25" t="s">
        <v>14</v>
      </c>
      <c r="F4" s="26" t="s">
        <v>104</v>
      </c>
      <c r="G4" s="20"/>
    </row>
    <row r="5" spans="2:11">
      <c r="B5" s="27">
        <v>1</v>
      </c>
      <c r="C5" s="28" t="s">
        <v>105</v>
      </c>
      <c r="D5" s="21"/>
      <c r="E5" s="278" t="s">
        <v>106</v>
      </c>
      <c r="F5" s="294"/>
      <c r="G5" s="2"/>
    </row>
    <row r="6" spans="2:11">
      <c r="B6" s="27">
        <v>2</v>
      </c>
      <c r="C6" s="28" t="s">
        <v>107</v>
      </c>
      <c r="D6" s="21"/>
      <c r="E6" s="280" t="s">
        <v>377</v>
      </c>
      <c r="F6" s="281"/>
      <c r="G6" s="2"/>
      <c r="H6" s="21"/>
      <c r="I6" s="29" t="s">
        <v>108</v>
      </c>
      <c r="J6" s="21"/>
    </row>
    <row r="7" spans="2:11">
      <c r="B7" s="27">
        <v>3</v>
      </c>
      <c r="C7" s="28" t="s">
        <v>109</v>
      </c>
      <c r="D7" s="30"/>
      <c r="E7" s="31" t="s">
        <v>41</v>
      </c>
      <c r="F7" s="32" t="str">
        <f>IF(E7="LH","RH",IF(E7="RH","LH","None"))</f>
        <v>RH</v>
      </c>
      <c r="G7" s="2"/>
      <c r="H7" s="33" t="s">
        <v>110</v>
      </c>
      <c r="I7" s="33"/>
      <c r="J7" s="34">
        <v>14</v>
      </c>
    </row>
    <row r="8" spans="2:11" ht="15.75">
      <c r="B8" s="27">
        <v>4</v>
      </c>
      <c r="C8" s="35" t="s">
        <v>20</v>
      </c>
      <c r="D8" s="36" t="s">
        <v>111</v>
      </c>
      <c r="E8" s="31">
        <v>18</v>
      </c>
      <c r="F8" s="32">
        <v>63</v>
      </c>
      <c r="G8" s="2"/>
      <c r="H8" s="33" t="s">
        <v>112</v>
      </c>
      <c r="I8" s="33"/>
      <c r="J8" s="34">
        <v>12</v>
      </c>
    </row>
    <row r="9" spans="2:11">
      <c r="B9" s="27">
        <v>5</v>
      </c>
      <c r="C9" s="37" t="s">
        <v>113</v>
      </c>
      <c r="D9" s="30" t="s">
        <v>114</v>
      </c>
      <c r="E9" s="295">
        <v>8</v>
      </c>
      <c r="F9" s="296"/>
      <c r="G9" s="2"/>
      <c r="H9" s="33" t="s">
        <v>115</v>
      </c>
      <c r="I9" s="33"/>
      <c r="J9" s="34">
        <v>19</v>
      </c>
    </row>
    <row r="10" spans="2:11">
      <c r="B10" s="27">
        <v>6</v>
      </c>
      <c r="C10" s="28" t="s">
        <v>116</v>
      </c>
      <c r="D10" s="30"/>
      <c r="E10" s="247">
        <f>ROUND(E9/(2.25*E91),J2)</f>
        <v>3.56</v>
      </c>
      <c r="F10" s="277"/>
      <c r="G10" s="2"/>
      <c r="H10" s="33" t="s">
        <v>117</v>
      </c>
      <c r="I10" s="33"/>
      <c r="J10" s="38">
        <f>(J9/60+J8)/60+J7</f>
        <v>14.205277777777777</v>
      </c>
    </row>
    <row r="11" spans="2:11">
      <c r="B11" s="27">
        <v>7</v>
      </c>
      <c r="C11" s="37" t="s">
        <v>42</v>
      </c>
      <c r="D11" s="30"/>
      <c r="E11" s="280">
        <v>3.5</v>
      </c>
      <c r="F11" s="281"/>
      <c r="G11" s="2"/>
      <c r="H11" s="39"/>
      <c r="I11" s="39"/>
      <c r="J11" s="40"/>
    </row>
    <row r="12" spans="2:11" ht="15.75">
      <c r="B12" s="27">
        <v>8</v>
      </c>
      <c r="C12" s="37" t="s">
        <v>118</v>
      </c>
      <c r="D12" s="36" t="s">
        <v>119</v>
      </c>
      <c r="E12" s="41">
        <v>73.11</v>
      </c>
      <c r="F12" s="42">
        <v>232.09</v>
      </c>
      <c r="G12" s="2"/>
      <c r="H12" s="21"/>
      <c r="I12" s="29" t="s">
        <v>120</v>
      </c>
      <c r="J12" s="21"/>
    </row>
    <row r="13" spans="2:11" ht="15.75">
      <c r="B13" s="27">
        <v>9</v>
      </c>
      <c r="C13" s="37" t="s">
        <v>121</v>
      </c>
      <c r="D13" s="36"/>
      <c r="E13" s="30">
        <f>ROUND(E11*E8/COS(E16*PI()/180)+2*E11,J2)</f>
        <v>71.709999999999994</v>
      </c>
      <c r="F13" s="43">
        <f>ROUND(E11*F8/COS(E16*PI()/180)+2*E11,J2)</f>
        <v>233.49</v>
      </c>
      <c r="G13" s="3"/>
      <c r="H13" s="33" t="s">
        <v>117</v>
      </c>
      <c r="I13" s="33"/>
      <c r="J13" s="34">
        <v>12.5764066</v>
      </c>
    </row>
    <row r="14" spans="2:11">
      <c r="B14" s="27">
        <v>10</v>
      </c>
      <c r="C14" s="37" t="s">
        <v>122</v>
      </c>
      <c r="D14" s="30" t="s">
        <v>123</v>
      </c>
      <c r="E14" s="278">
        <v>145.6</v>
      </c>
      <c r="F14" s="279"/>
      <c r="G14" s="2"/>
      <c r="H14" s="44" t="s">
        <v>124</v>
      </c>
      <c r="I14" s="45"/>
      <c r="J14" s="46">
        <f>FLOOR(J13,1)</f>
        <v>12</v>
      </c>
    </row>
    <row r="15" spans="2:11" ht="18">
      <c r="B15" s="27">
        <v>11</v>
      </c>
      <c r="C15" s="37" t="s">
        <v>125</v>
      </c>
      <c r="D15" s="30" t="s">
        <v>126</v>
      </c>
      <c r="E15" s="236">
        <f>D105</f>
        <v>145.6</v>
      </c>
      <c r="F15" s="237"/>
      <c r="G15" s="3"/>
      <c r="H15" s="44" t="s">
        <v>127</v>
      </c>
      <c r="I15" s="45"/>
      <c r="J15" s="46">
        <f>FLOOR((J13-J14)*60,1)</f>
        <v>34</v>
      </c>
    </row>
    <row r="16" spans="2:11" ht="15.75">
      <c r="B16" s="27">
        <v>12</v>
      </c>
      <c r="C16" s="37" t="s">
        <v>15</v>
      </c>
      <c r="D16" s="36" t="s">
        <v>128</v>
      </c>
      <c r="E16" s="280">
        <v>13.20528</v>
      </c>
      <c r="F16" s="281"/>
      <c r="G16" s="2"/>
      <c r="H16" s="44" t="s">
        <v>129</v>
      </c>
      <c r="I16" s="45"/>
      <c r="J16" s="46">
        <f>ROUND((J13-J15/60-J14)*60*60,0)</f>
        <v>35</v>
      </c>
    </row>
    <row r="17" spans="2:11">
      <c r="B17" s="27">
        <v>13</v>
      </c>
      <c r="C17" s="28" t="s">
        <v>130</v>
      </c>
      <c r="D17" s="21"/>
      <c r="E17" s="247">
        <f>ROUND(ACOS(E11*(E8+F8)/(2*E14))*180/PI(),6)</f>
        <v>13.205321</v>
      </c>
      <c r="F17" s="277"/>
      <c r="G17" s="2"/>
    </row>
    <row r="18" spans="2:11" ht="15.75" thickBot="1">
      <c r="B18" s="47">
        <v>14</v>
      </c>
      <c r="C18" s="48" t="s">
        <v>131</v>
      </c>
      <c r="D18" s="49"/>
      <c r="E18" s="282" t="str">
        <f>C144</f>
        <v>S0 CORRECTION</v>
      </c>
      <c r="F18" s="283"/>
      <c r="G18" s="2"/>
    </row>
    <row r="19" spans="2:11" ht="17.25" customHeight="1" thickBot="1">
      <c r="G19" s="50"/>
      <c r="H19" s="274" t="s">
        <v>132</v>
      </c>
      <c r="I19" s="275"/>
      <c r="J19" s="275"/>
      <c r="K19" s="276"/>
    </row>
    <row r="20" spans="2:11" ht="17.25" customHeight="1">
      <c r="B20" s="51" t="s">
        <v>102</v>
      </c>
      <c r="C20" s="52" t="s">
        <v>133</v>
      </c>
      <c r="D20" s="52" t="s">
        <v>134</v>
      </c>
      <c r="E20" s="52" t="s">
        <v>135</v>
      </c>
      <c r="F20" s="53" t="s">
        <v>136</v>
      </c>
      <c r="G20" s="54"/>
      <c r="H20" s="33" t="s">
        <v>137</v>
      </c>
      <c r="I20" s="33"/>
      <c r="J20" s="55">
        <v>253</v>
      </c>
      <c r="K20" s="56" t="s">
        <v>101</v>
      </c>
    </row>
    <row r="21" spans="2:11" ht="15.75">
      <c r="B21" s="57">
        <v>1</v>
      </c>
      <c r="C21" s="58" t="s">
        <v>138</v>
      </c>
      <c r="D21" s="58"/>
      <c r="E21" s="247" t="str">
        <f>E6</f>
        <v>HELICAL</v>
      </c>
      <c r="F21" s="277"/>
      <c r="G21" s="2"/>
      <c r="H21" s="59" t="s">
        <v>139</v>
      </c>
      <c r="I21" s="60"/>
      <c r="J21" s="61">
        <f>J20/25.4</f>
        <v>9.9606299212598426</v>
      </c>
      <c r="K21" s="56" t="s">
        <v>140</v>
      </c>
    </row>
    <row r="22" spans="2:11" ht="15.75">
      <c r="B22" s="57">
        <v>2</v>
      </c>
      <c r="C22" s="58" t="s">
        <v>141</v>
      </c>
      <c r="D22" s="36" t="s">
        <v>27</v>
      </c>
      <c r="E22" s="255">
        <f>E11</f>
        <v>3.5</v>
      </c>
      <c r="F22" s="254"/>
      <c r="G22" s="2"/>
      <c r="H22" s="62" t="s">
        <v>142</v>
      </c>
      <c r="I22" s="63"/>
      <c r="J22" s="61" t="str">
        <f>C230</f>
        <v>9-61/64</v>
      </c>
      <c r="K22" s="56" t="s">
        <v>140</v>
      </c>
    </row>
    <row r="23" spans="2:11" ht="15.75">
      <c r="B23" s="57">
        <v>3</v>
      </c>
      <c r="C23" s="58" t="s">
        <v>143</v>
      </c>
      <c r="D23" s="36" t="s">
        <v>111</v>
      </c>
      <c r="E23" s="30">
        <f>E8</f>
        <v>18</v>
      </c>
      <c r="F23" s="43">
        <f>F8</f>
        <v>63</v>
      </c>
      <c r="G23" s="2"/>
      <c r="H23" s="64" t="str">
        <f>CONCATENATE("Value of ",J22," inch is:" )</f>
        <v>Value of 9-61/64 inch is:</v>
      </c>
      <c r="I23" s="65"/>
      <c r="J23" s="61">
        <f>ROUND(C231*25.4,J2)</f>
        <v>252.81</v>
      </c>
      <c r="K23" s="56" t="s">
        <v>101</v>
      </c>
    </row>
    <row r="24" spans="2:11" ht="15.75">
      <c r="B24" s="57">
        <v>4</v>
      </c>
      <c r="C24" s="58" t="s">
        <v>144</v>
      </c>
      <c r="D24" s="36"/>
      <c r="E24" s="30" t="str">
        <f>IF(E6="Spur","None",E7)</f>
        <v>LH</v>
      </c>
      <c r="F24" s="43" t="str">
        <f>IF(E6="Spur","None",F7)</f>
        <v>RH</v>
      </c>
      <c r="G24" s="2"/>
    </row>
    <row r="25" spans="2:11" ht="15.75">
      <c r="B25" s="57">
        <v>5</v>
      </c>
      <c r="C25" s="58" t="s">
        <v>145</v>
      </c>
      <c r="D25" s="36" t="s">
        <v>128</v>
      </c>
      <c r="E25" s="236" t="str">
        <f>CONCATENATE(E132,F132,E133,F133,E134,F134)</f>
        <v>13°12'19"</v>
      </c>
      <c r="F25" s="237"/>
      <c r="G25" s="3"/>
    </row>
    <row r="26" spans="2:11" ht="15.75">
      <c r="B26" s="57">
        <v>6</v>
      </c>
      <c r="C26" s="58" t="s">
        <v>146</v>
      </c>
      <c r="D26" s="36" t="s">
        <v>147</v>
      </c>
      <c r="E26" s="278">
        <v>20</v>
      </c>
      <c r="F26" s="279"/>
      <c r="G26" s="2"/>
    </row>
    <row r="27" spans="2:11" ht="15.75">
      <c r="B27" s="57">
        <v>7</v>
      </c>
      <c r="C27" s="58" t="s">
        <v>148</v>
      </c>
      <c r="D27" s="36"/>
      <c r="E27" s="280" t="s">
        <v>149</v>
      </c>
      <c r="F27" s="281"/>
      <c r="G27" s="2"/>
    </row>
    <row r="28" spans="2:11" ht="15.75">
      <c r="B28" s="57">
        <v>8</v>
      </c>
      <c r="C28" s="58" t="s">
        <v>150</v>
      </c>
      <c r="D28" s="36" t="s">
        <v>151</v>
      </c>
      <c r="E28" s="66">
        <f>ROUND(E11*E8/COS(E16*PI()/180),J2)</f>
        <v>64.709999999999994</v>
      </c>
      <c r="F28" s="67">
        <f>ROUND(E11*F8/COS(E16*PI()/180),J2)</f>
        <v>226.49</v>
      </c>
      <c r="G28" s="3"/>
    </row>
    <row r="29" spans="2:11" ht="15.75">
      <c r="B29" s="57">
        <v>9</v>
      </c>
      <c r="C29" s="58" t="s">
        <v>152</v>
      </c>
      <c r="D29" s="36" t="s">
        <v>123</v>
      </c>
      <c r="E29" s="255">
        <f>D106</f>
        <v>145.6</v>
      </c>
      <c r="F29" s="254"/>
      <c r="G29" s="3"/>
    </row>
    <row r="30" spans="2:11">
      <c r="B30" s="248">
        <v>10</v>
      </c>
      <c r="C30" s="257" t="s">
        <v>153</v>
      </c>
      <c r="D30" s="259"/>
      <c r="E30" s="30">
        <f>ROUND(E33-F30,J2)</f>
        <v>0.2</v>
      </c>
      <c r="F30" s="43">
        <f>ROUND((F12-F13)/(2*E11),J2)</f>
        <v>-0.2</v>
      </c>
      <c r="G30" s="2"/>
    </row>
    <row r="31" spans="2:11">
      <c r="B31" s="256"/>
      <c r="C31" s="258"/>
      <c r="D31" s="260"/>
      <c r="E31" s="30">
        <f>ROUND((E12-E13)/(2*E11),J2)</f>
        <v>0.2</v>
      </c>
      <c r="F31" s="43">
        <f>ROUND(E33-E31,J2)</f>
        <v>-0.2</v>
      </c>
      <c r="G31" s="3"/>
    </row>
    <row r="32" spans="2:11">
      <c r="B32" s="250"/>
      <c r="C32" s="258"/>
      <c r="D32" s="260"/>
      <c r="E32" s="6">
        <f>ROUND(E31,J2)</f>
        <v>0.2</v>
      </c>
      <c r="F32" s="68">
        <f>ROUND(F30,J2)</f>
        <v>-0.2</v>
      </c>
      <c r="G32" s="3"/>
    </row>
    <row r="33" spans="2:15" ht="18">
      <c r="B33" s="69">
        <v>11</v>
      </c>
      <c r="C33" s="70" t="s">
        <v>154</v>
      </c>
      <c r="D33" s="71"/>
      <c r="E33" s="263">
        <f>ROUND(D103,J2)</f>
        <v>0</v>
      </c>
      <c r="F33" s="263"/>
      <c r="G33" s="3"/>
    </row>
    <row r="34" spans="2:15" ht="15.75">
      <c r="B34" s="69">
        <v>12</v>
      </c>
      <c r="C34" s="72" t="s">
        <v>155</v>
      </c>
      <c r="D34" s="73" t="s">
        <v>156</v>
      </c>
      <c r="E34" s="74">
        <v>0.2</v>
      </c>
      <c r="F34" s="75">
        <v>-0.2</v>
      </c>
      <c r="G34" s="2"/>
    </row>
    <row r="35" spans="2:15" ht="15.75">
      <c r="B35" s="69">
        <v>13</v>
      </c>
      <c r="C35" s="76" t="s">
        <v>157</v>
      </c>
      <c r="D35" s="77" t="s">
        <v>158</v>
      </c>
      <c r="E35" s="264">
        <f>IF(E34=-F34,0,D104)</f>
        <v>0</v>
      </c>
      <c r="F35" s="265"/>
      <c r="G35" s="2"/>
    </row>
    <row r="36" spans="2:15" ht="15.75">
      <c r="B36" s="69">
        <v>14</v>
      </c>
      <c r="C36" s="58" t="s">
        <v>159</v>
      </c>
      <c r="D36" s="36" t="s">
        <v>160</v>
      </c>
      <c r="E36" s="30">
        <f>ROUND(D109,J2)</f>
        <v>64.709999999999994</v>
      </c>
      <c r="F36" s="43">
        <f>ROUND(E109,J2)</f>
        <v>226.49</v>
      </c>
      <c r="G36" s="3"/>
      <c r="M36" s="21"/>
      <c r="N36" s="247" t="s">
        <v>161</v>
      </c>
      <c r="O36" s="247" t="s">
        <v>162</v>
      </c>
    </row>
    <row r="37" spans="2:15" ht="15.75">
      <c r="B37" s="248">
        <v>13</v>
      </c>
      <c r="C37" s="78" t="s">
        <v>163</v>
      </c>
      <c r="D37" s="79"/>
      <c r="E37" s="80">
        <f>D114</f>
        <v>73.11</v>
      </c>
      <c r="F37" s="81">
        <f>E114</f>
        <v>232.09</v>
      </c>
      <c r="G37" s="3"/>
      <c r="M37" s="21"/>
      <c r="N37" s="247"/>
      <c r="O37" s="247"/>
    </row>
    <row r="38" spans="2:15" ht="15.75">
      <c r="B38" s="249"/>
      <c r="C38" s="78" t="s">
        <v>164</v>
      </c>
      <c r="D38" s="82"/>
      <c r="E38" s="80">
        <f>D115</f>
        <v>73.11</v>
      </c>
      <c r="F38" s="81">
        <f>E115</f>
        <v>232.09</v>
      </c>
      <c r="G38" s="3"/>
      <c r="M38" s="30" t="s">
        <v>165</v>
      </c>
      <c r="N38" s="30">
        <f>D106-(E41+F37)/2</f>
        <v>0.875</v>
      </c>
      <c r="O38" s="30">
        <f>D106-(E41+F38)/2</f>
        <v>0.875</v>
      </c>
    </row>
    <row r="39" spans="2:15" ht="15.75">
      <c r="B39" s="250"/>
      <c r="C39" s="83" t="s">
        <v>164</v>
      </c>
      <c r="D39" s="36" t="s">
        <v>119</v>
      </c>
      <c r="E39" s="30">
        <f>IF(C39=C37,E37,E38)</f>
        <v>73.11</v>
      </c>
      <c r="F39" s="43">
        <f>IF(C39=C37,F37,F38)</f>
        <v>232.09</v>
      </c>
      <c r="G39" s="2"/>
    </row>
    <row r="40" spans="2:15" ht="15.75">
      <c r="B40" s="57">
        <v>14</v>
      </c>
      <c r="C40" s="58" t="s">
        <v>166</v>
      </c>
      <c r="D40" s="36"/>
      <c r="E40" s="30">
        <f>E12</f>
        <v>73.11</v>
      </c>
      <c r="F40" s="43">
        <f>F12</f>
        <v>232.09</v>
      </c>
      <c r="G40" s="3"/>
    </row>
    <row r="41" spans="2:15" ht="15.75">
      <c r="B41" s="57">
        <v>15</v>
      </c>
      <c r="C41" s="58" t="s">
        <v>167</v>
      </c>
      <c r="D41" s="36" t="s">
        <v>168</v>
      </c>
      <c r="E41" s="30">
        <f>D116</f>
        <v>57.36</v>
      </c>
      <c r="F41" s="43">
        <f>E116</f>
        <v>216.34</v>
      </c>
      <c r="G41" s="3"/>
    </row>
    <row r="42" spans="2:15" ht="15.75">
      <c r="B42" s="57">
        <v>16</v>
      </c>
      <c r="C42" s="58" t="s">
        <v>169</v>
      </c>
      <c r="D42" s="36" t="s">
        <v>170</v>
      </c>
      <c r="E42" s="30">
        <f>ROUND((E39-E36)/2,J2)</f>
        <v>4.2</v>
      </c>
      <c r="F42" s="43">
        <f>ROUND((F39-F36)/2,J2)</f>
        <v>2.8</v>
      </c>
      <c r="G42" s="2"/>
      <c r="H42" s="2"/>
      <c r="I42" s="2"/>
    </row>
    <row r="43" spans="2:15" ht="15.75">
      <c r="B43" s="57">
        <v>17</v>
      </c>
      <c r="C43" s="58" t="s">
        <v>171</v>
      </c>
      <c r="D43" s="36" t="s">
        <v>172</v>
      </c>
      <c r="E43" s="30">
        <f>ROUND((E36-E41)/2,J2)</f>
        <v>3.68</v>
      </c>
      <c r="F43" s="43">
        <f>ROUND((F36-F41)/2,J2)</f>
        <v>5.08</v>
      </c>
      <c r="G43" s="2"/>
      <c r="H43" s="84"/>
      <c r="I43" s="84"/>
    </row>
    <row r="44" spans="2:15" ht="15.75">
      <c r="B44" s="57">
        <v>18</v>
      </c>
      <c r="C44" s="58" t="s">
        <v>173</v>
      </c>
      <c r="D44" s="36" t="s">
        <v>174</v>
      </c>
      <c r="E44" s="251">
        <f>ROUND(D106-((E37+F37)/2+E35*E11-2.25*E91*E11),J2)</f>
        <v>0.88</v>
      </c>
      <c r="F44" s="252"/>
      <c r="G44" s="3"/>
    </row>
    <row r="45" spans="2:15" ht="31.5" customHeight="1">
      <c r="B45" s="57">
        <v>19</v>
      </c>
      <c r="C45" s="58" t="s">
        <v>175</v>
      </c>
      <c r="D45" s="36"/>
      <c r="E45" s="253" t="s">
        <v>176</v>
      </c>
      <c r="F45" s="254"/>
      <c r="G45" s="2"/>
    </row>
    <row r="46" spans="2:15" ht="15.75">
      <c r="B46" s="266">
        <v>20</v>
      </c>
      <c r="C46" s="268" t="s">
        <v>177</v>
      </c>
      <c r="D46" s="77" t="s">
        <v>178</v>
      </c>
      <c r="E46" s="30" t="str">
        <f>CONCATENATE("FOR ", D110)</f>
        <v>FOR 3</v>
      </c>
      <c r="F46" s="43" t="str">
        <f>CONCATENATE("FOR ", E110)</f>
        <v>FOR 8</v>
      </c>
      <c r="G46" s="2"/>
    </row>
    <row r="47" spans="2:15" ht="15.75">
      <c r="B47" s="267"/>
      <c r="C47" s="269"/>
      <c r="D47" s="85" t="s">
        <v>179</v>
      </c>
      <c r="E47" s="30">
        <f>ROUND(D111,J2)</f>
        <v>27.26</v>
      </c>
      <c r="F47" s="43">
        <f>ROUND(E111,J2)</f>
        <v>80.349999999999994</v>
      </c>
      <c r="G47" s="2"/>
    </row>
    <row r="48" spans="2:15" ht="15.75">
      <c r="B48" s="57">
        <v>22</v>
      </c>
      <c r="C48" s="58" t="s">
        <v>180</v>
      </c>
      <c r="D48" s="36" t="s">
        <v>181</v>
      </c>
      <c r="E48" s="30">
        <f>ROUND((1.38705+0.64279*E34)*E11,J2)</f>
        <v>5.3</v>
      </c>
      <c r="F48" s="43">
        <f>ROUND((1.38705+0.64279*F34)*E11,J2)</f>
        <v>4.4000000000000004</v>
      </c>
      <c r="G48" s="3"/>
    </row>
    <row r="49" spans="2:7" ht="15.75">
      <c r="B49" s="57">
        <v>23</v>
      </c>
      <c r="C49" s="58" t="s">
        <v>182</v>
      </c>
      <c r="D49" s="36" t="s">
        <v>183</v>
      </c>
      <c r="E49" s="30">
        <f>ROUND((0.74758+0.883*E34)*E11,J2)</f>
        <v>3.23</v>
      </c>
      <c r="F49" s="43">
        <f>ROUND((0.74758+0.883*F34)*E11,J2)</f>
        <v>2</v>
      </c>
      <c r="G49" s="3"/>
    </row>
    <row r="50" spans="2:7" ht="15.75">
      <c r="B50" s="57">
        <v>24</v>
      </c>
      <c r="C50" s="58" t="s">
        <v>184</v>
      </c>
      <c r="D50" s="36"/>
      <c r="E50" s="270" t="s">
        <v>185</v>
      </c>
      <c r="F50" s="271"/>
      <c r="G50" s="3"/>
    </row>
    <row r="51" spans="2:7" ht="30.75" customHeight="1" thickBot="1">
      <c r="B51" s="86">
        <v>25</v>
      </c>
      <c r="C51" s="87" t="s">
        <v>186</v>
      </c>
      <c r="D51" s="88"/>
      <c r="E51" s="272" t="str">
        <f>F279</f>
        <v>NA min.                                   NA max.</v>
      </c>
      <c r="F51" s="273"/>
      <c r="G51" s="2"/>
    </row>
    <row r="52" spans="2:7">
      <c r="C52" s="2"/>
      <c r="D52" s="3"/>
      <c r="E52" s="3"/>
      <c r="F52" s="3"/>
      <c r="G52" s="2"/>
    </row>
    <row r="56" spans="2:7" ht="15.75" thickBot="1"/>
    <row r="57" spans="2:7" ht="15.75" thickBot="1">
      <c r="B57" s="244" t="str">
        <f>B1</f>
        <v>EXTERNAL GEAR</v>
      </c>
      <c r="C57" s="261"/>
      <c r="D57" s="261"/>
      <c r="E57" s="261"/>
      <c r="F57" s="262"/>
    </row>
    <row r="58" spans="2:7" ht="15.75" thickBot="1">
      <c r="B58" s="244" t="str">
        <f>CONCATENATE("Job No: ",E3)</f>
        <v xml:space="preserve">Job No: </v>
      </c>
      <c r="C58" s="245"/>
      <c r="D58" s="245"/>
      <c r="E58" s="245"/>
      <c r="F58" s="246"/>
    </row>
    <row r="59" spans="2:7">
      <c r="B59" s="89" t="str">
        <f>B20</f>
        <v>S.No</v>
      </c>
      <c r="C59" s="23" t="str">
        <f>C20</f>
        <v>DESCRIPTION</v>
      </c>
      <c r="D59" s="23" t="str">
        <f t="shared" ref="D59:F68" si="0">D20</f>
        <v>SYMBOL</v>
      </c>
      <c r="E59" s="25" t="str">
        <f t="shared" si="0"/>
        <v>PINION</v>
      </c>
      <c r="F59" s="26" t="str">
        <f t="shared" si="0"/>
        <v>GEAR</v>
      </c>
    </row>
    <row r="60" spans="2:7">
      <c r="B60" s="27">
        <v>1</v>
      </c>
      <c r="C60" s="21" t="str">
        <f>C21</f>
        <v>TYPE OF GEAR</v>
      </c>
      <c r="D60" s="21"/>
      <c r="E60" s="236" t="str">
        <f t="shared" si="0"/>
        <v>HELICAL</v>
      </c>
      <c r="F60" s="237"/>
    </row>
    <row r="61" spans="2:7">
      <c r="B61" s="27">
        <v>2</v>
      </c>
      <c r="C61" s="21" t="str">
        <f t="shared" ref="C61:C68" si="1">C22</f>
        <v>MODULE</v>
      </c>
      <c r="D61" s="30" t="str">
        <f>D22</f>
        <v>m</v>
      </c>
      <c r="E61" s="236">
        <f t="shared" si="0"/>
        <v>3.5</v>
      </c>
      <c r="F61" s="237"/>
    </row>
    <row r="62" spans="2:7">
      <c r="B62" s="27">
        <v>3</v>
      </c>
      <c r="C62" s="21" t="str">
        <f t="shared" si="1"/>
        <v>No. OF TEETH</v>
      </c>
      <c r="D62" s="30" t="str">
        <f>D23</f>
        <v>Z1/Z2</v>
      </c>
      <c r="E62" s="30">
        <f t="shared" si="0"/>
        <v>18</v>
      </c>
      <c r="F62" s="43">
        <f>F23</f>
        <v>63</v>
      </c>
    </row>
    <row r="63" spans="2:7">
      <c r="B63" s="27">
        <v>4</v>
      </c>
      <c r="C63" s="21" t="str">
        <f t="shared" si="1"/>
        <v>HAND OF HELIX</v>
      </c>
      <c r="D63" s="30"/>
      <c r="E63" s="30" t="str">
        <f t="shared" si="0"/>
        <v>LH</v>
      </c>
      <c r="F63" s="43" t="str">
        <f>F24</f>
        <v>RH</v>
      </c>
    </row>
    <row r="64" spans="2:7">
      <c r="B64" s="27">
        <v>5</v>
      </c>
      <c r="C64" s="21" t="str">
        <f t="shared" si="1"/>
        <v>HELIX ANGLE (deg. min. sec.)</v>
      </c>
      <c r="D64" s="30" t="str">
        <f>D25</f>
        <v>β</v>
      </c>
      <c r="E64" s="240" t="str">
        <f t="shared" si="0"/>
        <v>13°12'19"</v>
      </c>
      <c r="F64" s="241"/>
    </row>
    <row r="65" spans="2:7">
      <c r="B65" s="27">
        <v>6</v>
      </c>
      <c r="C65" s="21" t="str">
        <f t="shared" si="1"/>
        <v>PRESSURE ANGLE (degrees)</v>
      </c>
      <c r="D65" s="30" t="str">
        <f>D26</f>
        <v>α</v>
      </c>
      <c r="E65" s="236">
        <f t="shared" si="0"/>
        <v>20</v>
      </c>
      <c r="F65" s="237"/>
    </row>
    <row r="66" spans="2:7">
      <c r="B66" s="27">
        <v>7</v>
      </c>
      <c r="C66" s="21" t="str">
        <f t="shared" si="1"/>
        <v>BASIC RACK AS PER</v>
      </c>
      <c r="D66" s="30"/>
      <c r="E66" s="236" t="str">
        <f t="shared" si="0"/>
        <v>AS PER IS:2535</v>
      </c>
      <c r="F66" s="237"/>
    </row>
    <row r="67" spans="2:7">
      <c r="B67" s="27">
        <v>8</v>
      </c>
      <c r="C67" s="21" t="str">
        <f t="shared" si="1"/>
        <v>REFERENCE CIRCLE DIA</v>
      </c>
      <c r="D67" s="30" t="str">
        <f>D28</f>
        <v>d1/d2</v>
      </c>
      <c r="E67" s="30">
        <f t="shared" si="0"/>
        <v>64.709999999999994</v>
      </c>
      <c r="F67" s="43">
        <f>F28</f>
        <v>226.49</v>
      </c>
    </row>
    <row r="68" spans="2:7">
      <c r="B68" s="27">
        <v>9</v>
      </c>
      <c r="C68" s="21" t="str">
        <f t="shared" si="1"/>
        <v>CENTER DISTANCE</v>
      </c>
      <c r="D68" s="30" t="str">
        <f>D29</f>
        <v>a</v>
      </c>
      <c r="E68" s="236">
        <f t="shared" si="0"/>
        <v>145.6</v>
      </c>
      <c r="F68" s="237"/>
    </row>
    <row r="69" spans="2:7">
      <c r="B69" s="27">
        <v>10</v>
      </c>
      <c r="C69" s="21" t="str">
        <f>C34</f>
        <v>PROFILE CORRECTION FACTOR</v>
      </c>
      <c r="D69" s="30" t="str">
        <f>D34</f>
        <v>X1/X2</v>
      </c>
      <c r="E69" s="30">
        <f>E34</f>
        <v>0.2</v>
      </c>
      <c r="F69" s="43">
        <f>F34</f>
        <v>-0.2</v>
      </c>
    </row>
    <row r="70" spans="2:7">
      <c r="B70" s="90">
        <v>11</v>
      </c>
      <c r="C70" s="91" t="str">
        <f>C35</f>
        <v>ADDENDUM MODIFICATION CO-EFF</v>
      </c>
      <c r="D70" s="92" t="str">
        <f t="shared" ref="D70:D71" si="2">D35</f>
        <v>y</v>
      </c>
      <c r="E70" s="238">
        <f>E35</f>
        <v>0</v>
      </c>
      <c r="F70" s="239"/>
    </row>
    <row r="71" spans="2:7">
      <c r="B71" s="90">
        <v>12</v>
      </c>
      <c r="C71" s="91" t="str">
        <f>C36</f>
        <v>WORKING REFERENCE CIRCLE DIA</v>
      </c>
      <c r="D71" s="92" t="str">
        <f t="shared" si="2"/>
        <v>dw1/dw2</v>
      </c>
      <c r="E71" s="92">
        <f>E36</f>
        <v>64.709999999999994</v>
      </c>
      <c r="F71" s="93">
        <f>F36</f>
        <v>226.49</v>
      </c>
    </row>
    <row r="72" spans="2:7">
      <c r="B72" s="27">
        <v>13</v>
      </c>
      <c r="C72" s="21" t="s">
        <v>187</v>
      </c>
      <c r="D72" s="30" t="str">
        <f>D39</f>
        <v>da1/da2</v>
      </c>
      <c r="E72" s="30">
        <f>E39</f>
        <v>73.11</v>
      </c>
      <c r="F72" s="43">
        <f>F39</f>
        <v>232.09</v>
      </c>
    </row>
    <row r="73" spans="2:7">
      <c r="B73" s="27">
        <v>14</v>
      </c>
      <c r="C73" s="21" t="str">
        <f t="shared" ref="C73:F76" si="3">C41</f>
        <v>ROOT CIRCLE DIA</v>
      </c>
      <c r="D73" s="30" t="str">
        <f t="shared" si="3"/>
        <v>df1/df2</v>
      </c>
      <c r="E73" s="30">
        <f t="shared" si="3"/>
        <v>57.36</v>
      </c>
      <c r="F73" s="43">
        <f t="shared" si="3"/>
        <v>216.34</v>
      </c>
    </row>
    <row r="74" spans="2:7">
      <c r="B74" s="27">
        <v>15</v>
      </c>
      <c r="C74" s="21" t="str">
        <f t="shared" si="3"/>
        <v>ADDENDUM</v>
      </c>
      <c r="D74" s="30" t="str">
        <f t="shared" si="3"/>
        <v>ha1/ha2</v>
      </c>
      <c r="E74" s="30">
        <f t="shared" si="3"/>
        <v>4.2</v>
      </c>
      <c r="F74" s="43">
        <f t="shared" si="3"/>
        <v>2.8</v>
      </c>
    </row>
    <row r="75" spans="2:7">
      <c r="B75" s="27">
        <v>16</v>
      </c>
      <c r="C75" s="21" t="str">
        <f>C43</f>
        <v xml:space="preserve">DEDENDUM </v>
      </c>
      <c r="D75" s="30" t="str">
        <f t="shared" si="3"/>
        <v>hf1/hf2</v>
      </c>
      <c r="E75" s="30">
        <f>E43</f>
        <v>3.68</v>
      </c>
      <c r="F75" s="43">
        <f>F43</f>
        <v>5.08</v>
      </c>
    </row>
    <row r="76" spans="2:7">
      <c r="B76" s="27">
        <v>17</v>
      </c>
      <c r="C76" s="21" t="str">
        <f>C44</f>
        <v>CLEARANCE</v>
      </c>
      <c r="D76" s="30" t="str">
        <f t="shared" si="3"/>
        <v>c</v>
      </c>
      <c r="E76" s="236">
        <f>E44</f>
        <v>0.88</v>
      </c>
      <c r="F76" s="237"/>
    </row>
    <row r="77" spans="2:7" ht="30" customHeight="1">
      <c r="B77" s="27">
        <v>18</v>
      </c>
      <c r="C77" s="21" t="str">
        <f>C45</f>
        <v>ACCURACY GRADE</v>
      </c>
      <c r="D77" s="30"/>
      <c r="E77" s="240" t="str">
        <f>E45</f>
        <v>L6                                    AS PER IS:3681-95</v>
      </c>
      <c r="F77" s="241"/>
      <c r="G77" s="179" t="str">
        <f>LEFT(E77,2)</f>
        <v>L6</v>
      </c>
    </row>
    <row r="78" spans="2:7">
      <c r="B78" s="242">
        <v>19</v>
      </c>
      <c r="C78" s="243" t="str">
        <f>C46</f>
        <v>BASE TANGENT LENGTH (TEETH)</v>
      </c>
      <c r="D78" s="30" t="str">
        <f>D46</f>
        <v>k1/k2</v>
      </c>
      <c r="E78" s="30" t="str">
        <f>E46</f>
        <v>FOR 3</v>
      </c>
      <c r="F78" s="43" t="str">
        <f>F46</f>
        <v>FOR 8</v>
      </c>
    </row>
    <row r="79" spans="2:7">
      <c r="B79" s="242"/>
      <c r="C79" s="243"/>
      <c r="D79" s="30" t="str">
        <f t="shared" ref="D79:F81" si="4">D47</f>
        <v>wk1/wk2</v>
      </c>
      <c r="E79" s="30">
        <f t="shared" si="4"/>
        <v>27.26</v>
      </c>
      <c r="F79" s="43">
        <f t="shared" si="4"/>
        <v>80.349999999999994</v>
      </c>
    </row>
    <row r="80" spans="2:7">
      <c r="B80" s="94">
        <v>20</v>
      </c>
      <c r="C80" s="21" t="str">
        <f>C48</f>
        <v>CONSTANT CHORD LENGTH</v>
      </c>
      <c r="D80" s="30" t="str">
        <f t="shared" si="4"/>
        <v>sc</v>
      </c>
      <c r="E80" s="30">
        <f t="shared" si="4"/>
        <v>5.3</v>
      </c>
      <c r="F80" s="43">
        <f t="shared" si="4"/>
        <v>4.4000000000000004</v>
      </c>
    </row>
    <row r="81" spans="2:9">
      <c r="B81" s="94">
        <v>21</v>
      </c>
      <c r="C81" s="21" t="str">
        <f>C49</f>
        <v>CONSTANT CHORD HEIGHT</v>
      </c>
      <c r="D81" s="30" t="str">
        <f t="shared" si="4"/>
        <v>fc</v>
      </c>
      <c r="E81" s="30">
        <f t="shared" si="4"/>
        <v>3.23</v>
      </c>
      <c r="F81" s="43">
        <f t="shared" si="4"/>
        <v>2</v>
      </c>
    </row>
    <row r="82" spans="2:9" ht="30" customHeight="1" thickBot="1">
      <c r="B82" s="95">
        <v>22</v>
      </c>
      <c r="C82" s="96" t="str">
        <f>C51</f>
        <v>BACKLASH</v>
      </c>
      <c r="D82" s="97"/>
      <c r="E82" s="234" t="str">
        <f>E51</f>
        <v>NA min.                                   NA max.</v>
      </c>
      <c r="F82" s="235"/>
    </row>
    <row r="89" spans="2:9">
      <c r="C89" t="s">
        <v>188</v>
      </c>
      <c r="I89" s="98" t="s">
        <v>189</v>
      </c>
    </row>
    <row r="90" spans="2:9">
      <c r="D90" t="s">
        <v>190</v>
      </c>
      <c r="E90" t="s">
        <v>191</v>
      </c>
      <c r="I90" t="s">
        <v>185</v>
      </c>
    </row>
    <row r="91" spans="2:9">
      <c r="C91" t="s">
        <v>192</v>
      </c>
      <c r="D91">
        <v>1</v>
      </c>
      <c r="E91">
        <f>IF(E5="Full Depth",D91,D92)</f>
        <v>1</v>
      </c>
      <c r="I91" t="s">
        <v>193</v>
      </c>
    </row>
    <row r="92" spans="2:9">
      <c r="C92" t="s">
        <v>194</v>
      </c>
      <c r="D92">
        <v>0.8</v>
      </c>
    </row>
    <row r="94" spans="2:9">
      <c r="C94" t="s">
        <v>195</v>
      </c>
      <c r="D94">
        <v>1</v>
      </c>
      <c r="E94">
        <f>D94</f>
        <v>1</v>
      </c>
      <c r="F94" t="s">
        <v>196</v>
      </c>
    </row>
    <row r="95" spans="2:9">
      <c r="C95" t="s">
        <v>197</v>
      </c>
      <c r="D95">
        <v>-1</v>
      </c>
    </row>
    <row r="96" spans="2:9">
      <c r="C96" t="s">
        <v>198</v>
      </c>
      <c r="E96" t="b">
        <f>IF(E6="Spur",TRUE,FALSE)</f>
        <v>0</v>
      </c>
    </row>
    <row r="98" spans="3:8">
      <c r="C98" t="s">
        <v>199</v>
      </c>
    </row>
    <row r="99" spans="3:8" ht="18">
      <c r="C99" s="99" t="s">
        <v>200</v>
      </c>
      <c r="D99">
        <f>ATAN(TAN(E26*PI()/180)/COS(E16*PI()/180))*180/PI()</f>
        <v>20.49854739297907</v>
      </c>
    </row>
    <row r="100" spans="3:8" ht="18">
      <c r="C100" s="99" t="s">
        <v>201</v>
      </c>
      <c r="D100">
        <f>ACOS(D105*COS(D99*PI()/180)/E14)*180/PI()</f>
        <v>20.49854739297907</v>
      </c>
      <c r="H100" s="100"/>
    </row>
    <row r="101" spans="3:8" ht="18">
      <c r="C101" s="99" t="s">
        <v>202</v>
      </c>
      <c r="D101">
        <f>TAN(D100*PI()/180)-(D100*PI()/180)</f>
        <v>1.6088639041667352E-2</v>
      </c>
      <c r="H101" s="100"/>
    </row>
    <row r="102" spans="3:8" ht="18">
      <c r="C102" s="99" t="s">
        <v>203</v>
      </c>
      <c r="D102">
        <f>TAN(D99*PI()/180)-(D99*PI()/180)</f>
        <v>1.6088639041667352E-2</v>
      </c>
      <c r="F102" s="101"/>
      <c r="G102" s="102" t="s">
        <v>204</v>
      </c>
      <c r="H102" s="100"/>
    </row>
    <row r="103" spans="3:8" ht="18">
      <c r="C103" s="99" t="s">
        <v>205</v>
      </c>
      <c r="D103">
        <f>(D101-D102)*(E8+F8)/(2*TAN(E26*PI()/180))</f>
        <v>0</v>
      </c>
      <c r="F103" s="102" t="s">
        <v>206</v>
      </c>
      <c r="G103" s="101">
        <f>(D101-D102)*(F8-E8)/(2*TAN(E26*PI()/180))</f>
        <v>0</v>
      </c>
      <c r="H103" s="100"/>
    </row>
    <row r="104" spans="3:8">
      <c r="C104" s="103" t="s">
        <v>207</v>
      </c>
      <c r="D104" s="104">
        <f>ROUND(((E34+F34)*E11+D105-E14)/E11,J2)</f>
        <v>0</v>
      </c>
      <c r="F104" s="101"/>
      <c r="G104" s="101"/>
      <c r="H104" s="100"/>
    </row>
    <row r="105" spans="3:8" ht="18">
      <c r="C105" s="103" t="s">
        <v>208</v>
      </c>
      <c r="D105" s="105">
        <f>ROUND(E11*(E8+F8)/(2*COS(E16*PI()/180)),J2)</f>
        <v>145.6</v>
      </c>
      <c r="E105" s="106"/>
      <c r="F105" s="101"/>
      <c r="G105" s="101">
        <f>ROUND(E11*(F8-E8)/(2*COS(E16*PI()/180)),J2)</f>
        <v>80.89</v>
      </c>
      <c r="H105" s="100"/>
    </row>
    <row r="106" spans="3:8">
      <c r="C106" s="103" t="s">
        <v>209</v>
      </c>
      <c r="D106" s="107">
        <f>ROUND((E36+F36)/2,J2)</f>
        <v>145.6</v>
      </c>
      <c r="F106" s="101"/>
      <c r="G106" s="101">
        <f>ROUND((F36-E36)/2,J2)</f>
        <v>80.89</v>
      </c>
      <c r="H106" s="100"/>
    </row>
    <row r="107" spans="3:8">
      <c r="C107" s="103"/>
      <c r="D107" s="104"/>
      <c r="H107" s="100"/>
    </row>
    <row r="108" spans="3:8">
      <c r="C108" s="1"/>
      <c r="D108" s="1"/>
      <c r="H108" s="100"/>
    </row>
    <row r="109" spans="3:8">
      <c r="C109" t="s">
        <v>210</v>
      </c>
      <c r="D109">
        <f>E28*COS(D99*PI()/180)/COS(D100*PI()/180)</f>
        <v>64.709999999999994</v>
      </c>
      <c r="E109">
        <f>F28*COS(D99*PI()/180)/COS(D100*PI()/180)</f>
        <v>226.49</v>
      </c>
      <c r="H109" s="100"/>
    </row>
    <row r="110" spans="3:8">
      <c r="C110" t="s">
        <v>211</v>
      </c>
      <c r="D110">
        <f>CEILING(0.1111*E8+0.5,1)</f>
        <v>3</v>
      </c>
      <c r="E110">
        <f>CEILING(0.1111*F8+0.5,1)</f>
        <v>8</v>
      </c>
      <c r="H110" s="100"/>
    </row>
    <row r="111" spans="3:8">
      <c r="C111" t="s">
        <v>212</v>
      </c>
      <c r="D111">
        <f>E11*COS(E26*PI()/180)*((D110-0.5)*PI()+E8*D102)+2*E34*E11*SIN(E26*PI()/180)</f>
        <v>27.262435898288892</v>
      </c>
      <c r="E111">
        <f>E11*COS(E26*PI()/180)*((E110-0.5)*PI()+F8*D102)+2*F34*E11*SIN(E26*PI()/180)</f>
        <v>80.348223716900122</v>
      </c>
      <c r="H111" s="100"/>
    </row>
    <row r="112" spans="3:8">
      <c r="H112" s="100"/>
    </row>
    <row r="113" spans="3:8">
      <c r="C113" t="s">
        <v>195</v>
      </c>
      <c r="G113" s="101" t="s">
        <v>204</v>
      </c>
      <c r="H113" s="101"/>
    </row>
    <row r="114" spans="3:8" ht="15.75">
      <c r="C114" s="108" t="s">
        <v>213</v>
      </c>
      <c r="D114">
        <f>ROUND(2*(E14+E11*E91*(1-F34))-F28,J2)</f>
        <v>73.11</v>
      </c>
      <c r="E114">
        <f>ROUND(2*(E14+E11*E91*(1-E34))-E28,J2)</f>
        <v>232.09</v>
      </c>
      <c r="G114" s="101">
        <f>F28-2*(E29-E22-F34*E22)</f>
        <v>-59.109999999999957</v>
      </c>
      <c r="H114" s="101">
        <f>E28+2*(E29-E22+E34*E22)</f>
        <v>350.30999999999995</v>
      </c>
    </row>
    <row r="115" spans="3:8" ht="15.75">
      <c r="C115" s="108" t="s">
        <v>214</v>
      </c>
      <c r="D115">
        <f>ROUND(E28+2*(E11*E91)*(1+E34),J2)</f>
        <v>73.11</v>
      </c>
      <c r="E115">
        <f>ROUND(F28+2*(E11*E91)*(1+F34),J2)</f>
        <v>232.09</v>
      </c>
      <c r="G115" s="101"/>
      <c r="H115" s="101"/>
    </row>
    <row r="116" spans="3:8">
      <c r="C116" t="s">
        <v>215</v>
      </c>
      <c r="D116">
        <f>ROUND(E28-2*1.25*E91*E11+2*E34*E11,J2)</f>
        <v>57.36</v>
      </c>
      <c r="E116">
        <f>ROUND(F28-2*1.25*E91*E11+2*F34*E11,J2)</f>
        <v>216.34</v>
      </c>
      <c r="G116" s="101"/>
      <c r="H116" s="101"/>
    </row>
    <row r="117" spans="3:8">
      <c r="H117" s="100"/>
    </row>
    <row r="118" spans="3:8">
      <c r="C118" s="98" t="s">
        <v>216</v>
      </c>
      <c r="D118" t="s">
        <v>217</v>
      </c>
      <c r="E118" t="s">
        <v>218</v>
      </c>
      <c r="F118" t="s">
        <v>219</v>
      </c>
      <c r="G118" t="s">
        <v>220</v>
      </c>
      <c r="H118" s="100"/>
    </row>
    <row r="119" spans="3:8">
      <c r="C119" s="98" t="s">
        <v>221</v>
      </c>
      <c r="H119" s="100"/>
    </row>
    <row r="120" spans="3:8">
      <c r="C120" t="s">
        <v>222</v>
      </c>
      <c r="D120">
        <f>E14</f>
        <v>145.6</v>
      </c>
      <c r="E120">
        <f>E15</f>
        <v>145.6</v>
      </c>
      <c r="F120">
        <f>ABS(D120-E120)</f>
        <v>0</v>
      </c>
      <c r="G120" t="b">
        <f>IF(F120&lt;J3,FALSE,TRUE)</f>
        <v>0</v>
      </c>
      <c r="H120" s="100"/>
    </row>
    <row r="121" spans="3:8">
      <c r="C121" t="s">
        <v>223</v>
      </c>
      <c r="D121">
        <f>E12</f>
        <v>73.11</v>
      </c>
      <c r="E121">
        <f>E13</f>
        <v>71.709999999999994</v>
      </c>
      <c r="F121">
        <f>ABS(D121-E121)</f>
        <v>1.4000000000000057</v>
      </c>
      <c r="G121" t="b">
        <f>IF(F121&lt;J3,FALSE,TRUE)</f>
        <v>1</v>
      </c>
      <c r="H121" s="100"/>
    </row>
    <row r="122" spans="3:8">
      <c r="C122" t="s">
        <v>224</v>
      </c>
      <c r="D122">
        <f>F12</f>
        <v>232.09</v>
      </c>
      <c r="E122">
        <f>F13</f>
        <v>233.49</v>
      </c>
      <c r="F122">
        <f>ABS(D122-E122)</f>
        <v>1.4000000000000057</v>
      </c>
      <c r="G122" t="b">
        <f>IF(F122&lt;J3,FALSE,TRUE)</f>
        <v>1</v>
      </c>
    </row>
    <row r="123" spans="3:8">
      <c r="C123" s="98" t="s">
        <v>225</v>
      </c>
    </row>
    <row r="124" spans="3:8">
      <c r="C124" t="s">
        <v>222</v>
      </c>
      <c r="D124">
        <f>D120</f>
        <v>145.6</v>
      </c>
      <c r="E124">
        <f>G29</f>
        <v>0</v>
      </c>
      <c r="F124">
        <f>ABS(D124-E124)</f>
        <v>145.6</v>
      </c>
      <c r="G124" t="b">
        <f>IF(F124&lt;J3,FALSE,TRUE)</f>
        <v>1</v>
      </c>
    </row>
    <row r="125" spans="3:8">
      <c r="C125" t="s">
        <v>223</v>
      </c>
      <c r="D125">
        <f>D121</f>
        <v>73.11</v>
      </c>
      <c r="E125">
        <f>E39</f>
        <v>73.11</v>
      </c>
      <c r="F125">
        <f>ABS(D125-E125)</f>
        <v>0</v>
      </c>
      <c r="G125" t="b">
        <f>IF(F125&lt;J3,FALSE,TRUE)</f>
        <v>0</v>
      </c>
    </row>
    <row r="126" spans="3:8">
      <c r="C126" t="s">
        <v>224</v>
      </c>
      <c r="D126">
        <f>D122</f>
        <v>232.09</v>
      </c>
      <c r="E126">
        <f>F39</f>
        <v>232.09</v>
      </c>
      <c r="F126">
        <f>ABS(D126-E126)</f>
        <v>0</v>
      </c>
      <c r="G126" t="b">
        <f>IF(F126&lt;J3,FALSE,TRUE)</f>
        <v>0</v>
      </c>
    </row>
    <row r="128" spans="3:8">
      <c r="C128" t="s">
        <v>226</v>
      </c>
      <c r="D128">
        <f>E34+F34</f>
        <v>0</v>
      </c>
      <c r="E128">
        <f>E33</f>
        <v>0</v>
      </c>
      <c r="G128" t="b">
        <f>IF(D128=E128,FALSE,TRUE)</f>
        <v>0</v>
      </c>
    </row>
    <row r="130" spans="3:7">
      <c r="C130" s="21"/>
      <c r="D130" s="29" t="s">
        <v>120</v>
      </c>
      <c r="E130" s="21"/>
    </row>
    <row r="131" spans="3:7">
      <c r="C131" s="33" t="s">
        <v>117</v>
      </c>
      <c r="D131" s="33"/>
      <c r="E131" s="109">
        <f>E16</f>
        <v>13.20528</v>
      </c>
    </row>
    <row r="132" spans="3:7" ht="16.5">
      <c r="C132" s="44" t="s">
        <v>124</v>
      </c>
      <c r="D132" s="45"/>
      <c r="E132" s="46">
        <f>FLOOR(E131,1)</f>
        <v>13</v>
      </c>
      <c r="F132" s="110" t="s">
        <v>227</v>
      </c>
    </row>
    <row r="133" spans="3:7">
      <c r="C133" s="44" t="s">
        <v>127</v>
      </c>
      <c r="D133" s="45"/>
      <c r="E133" s="46">
        <f>FLOOR((E131-E132)*60,1)</f>
        <v>12</v>
      </c>
      <c r="F133" s="111" t="s">
        <v>228</v>
      </c>
    </row>
    <row r="134" spans="3:7">
      <c r="C134" s="44" t="s">
        <v>129</v>
      </c>
      <c r="D134" s="45"/>
      <c r="E134" s="46">
        <f>ROUND((E131-E133/60-E132)*60*60,0)</f>
        <v>19</v>
      </c>
      <c r="F134" s="21" t="s">
        <v>229</v>
      </c>
    </row>
    <row r="136" spans="3:7">
      <c r="C136" s="112" t="s">
        <v>230</v>
      </c>
      <c r="D136" t="s">
        <v>217</v>
      </c>
      <c r="E136" t="s">
        <v>218</v>
      </c>
    </row>
    <row r="137" spans="3:7">
      <c r="C137" s="112" t="s">
        <v>231</v>
      </c>
      <c r="D137">
        <f>E12</f>
        <v>73.11</v>
      </c>
      <c r="E137">
        <f>E13</f>
        <v>71.709999999999994</v>
      </c>
      <c r="F137">
        <f>ABS(D137-E137)</f>
        <v>1.4000000000000057</v>
      </c>
      <c r="G137" t="b">
        <f>IF(F137&lt;J3,TRUE,FALSE)</f>
        <v>0</v>
      </c>
    </row>
    <row r="138" spans="3:7">
      <c r="C138" s="112" t="s">
        <v>232</v>
      </c>
      <c r="D138">
        <f>F12</f>
        <v>232.09</v>
      </c>
      <c r="E138">
        <f>F13</f>
        <v>233.49</v>
      </c>
      <c r="F138">
        <f t="shared" ref="F138:F139" si="5">ABS(D138-E138)</f>
        <v>1.4000000000000057</v>
      </c>
      <c r="G138" t="b">
        <f>IF(F138&lt;J3,TRUE,FALSE)</f>
        <v>0</v>
      </c>
    </row>
    <row r="139" spans="3:7">
      <c r="C139" s="112" t="s">
        <v>123</v>
      </c>
      <c r="D139">
        <f>E14</f>
        <v>145.6</v>
      </c>
      <c r="E139">
        <f>D105</f>
        <v>145.6</v>
      </c>
      <c r="F139">
        <f t="shared" si="5"/>
        <v>0</v>
      </c>
      <c r="G139" t="b">
        <f>IF(F139&lt;J3,TRUE,FALSE)</f>
        <v>1</v>
      </c>
    </row>
    <row r="140" spans="3:7">
      <c r="C140" s="112" t="s">
        <v>233</v>
      </c>
    </row>
    <row r="141" spans="3:7">
      <c r="C141" s="112" t="s">
        <v>234</v>
      </c>
      <c r="D141">
        <f>IF(AND(G137=TRUE, G138=TRUE, G139=TRUE), 1,0)</f>
        <v>0</v>
      </c>
    </row>
    <row r="142" spans="3:7">
      <c r="C142" s="112" t="s">
        <v>235</v>
      </c>
      <c r="D142">
        <f>IF(AND(G139=TRUE,G137=FALSE,G138=FALSE),1,0)</f>
        <v>1</v>
      </c>
    </row>
    <row r="143" spans="3:7">
      <c r="C143" s="112" t="s">
        <v>236</v>
      </c>
      <c r="D143">
        <f>IF(AND(G137=FALSE,G138=FALSE,G139=FALSE), 1,0)</f>
        <v>0</v>
      </c>
    </row>
    <row r="144" spans="3:7">
      <c r="C144" s="21" t="str">
        <f>IF(D144=1,C141,IF(D144=2,C142,C143))</f>
        <v>S0 CORRECTION</v>
      </c>
      <c r="D144" s="21">
        <f>MATCH(1,D141:D143,0)</f>
        <v>2</v>
      </c>
      <c r="E144" s="21" t="s">
        <v>237</v>
      </c>
      <c r="F144" t="b">
        <f>IF(C144="S1 CORRECTION",TRUE,FALSE)</f>
        <v>0</v>
      </c>
    </row>
    <row r="148" spans="3:8">
      <c r="C148" s="17" t="s">
        <v>377</v>
      </c>
      <c r="D148" s="21" t="s">
        <v>41</v>
      </c>
      <c r="E148" s="21" t="s">
        <v>197</v>
      </c>
      <c r="F148" s="21" t="s">
        <v>238</v>
      </c>
      <c r="G148" s="113" t="s">
        <v>239</v>
      </c>
    </row>
    <row r="149" spans="3:8">
      <c r="C149" s="17" t="s">
        <v>378</v>
      </c>
      <c r="D149" s="21" t="s">
        <v>44</v>
      </c>
      <c r="E149" s="21" t="s">
        <v>195</v>
      </c>
      <c r="F149" s="21" t="s">
        <v>106</v>
      </c>
      <c r="G149" s="21"/>
    </row>
    <row r="150" spans="3:8">
      <c r="D150" s="21" t="s">
        <v>240</v>
      </c>
    </row>
    <row r="159" spans="3:8" ht="15.75" thickBot="1"/>
    <row r="160" spans="3:8">
      <c r="C160" s="114" t="s">
        <v>241</v>
      </c>
      <c r="D160" s="115"/>
      <c r="E160" s="115"/>
      <c r="F160" s="115"/>
      <c r="G160" s="115"/>
      <c r="H160" s="116"/>
    </row>
    <row r="161" spans="3:8">
      <c r="C161" s="117">
        <v>0</v>
      </c>
      <c r="D161" s="118">
        <v>64</v>
      </c>
      <c r="E161" s="2">
        <f>C161/D161</f>
        <v>0</v>
      </c>
      <c r="F161" s="2">
        <f>J21-TRUNC(J21)</f>
        <v>0.96062992125984259</v>
      </c>
      <c r="G161" s="2">
        <f>ABS(E161-F161)</f>
        <v>0.96062992125984259</v>
      </c>
      <c r="H161" s="119"/>
    </row>
    <row r="162" spans="3:8">
      <c r="C162" s="117">
        <v>1</v>
      </c>
      <c r="D162" s="120">
        <v>64</v>
      </c>
      <c r="E162" s="2">
        <f>C162/D162</f>
        <v>1.5625E-2</v>
      </c>
      <c r="F162" s="2">
        <f>F161</f>
        <v>0.96062992125984259</v>
      </c>
      <c r="G162" s="2">
        <f>ABS(E162-F162)</f>
        <v>0.94500492125984259</v>
      </c>
      <c r="H162" s="121" t="s">
        <v>242</v>
      </c>
    </row>
    <row r="163" spans="3:8">
      <c r="C163" s="117">
        <v>2</v>
      </c>
      <c r="D163" s="120">
        <v>64</v>
      </c>
      <c r="E163" s="2">
        <f t="shared" ref="E163:E225" si="6">C163/D163</f>
        <v>3.125E-2</v>
      </c>
      <c r="F163" s="2">
        <f>F162</f>
        <v>0.96062992125984259</v>
      </c>
      <c r="G163" s="2">
        <f t="shared" ref="G163:G225" si="7">ABS(E163-F163)</f>
        <v>0.92937992125984259</v>
      </c>
      <c r="H163" s="121" t="s">
        <v>243</v>
      </c>
    </row>
    <row r="164" spans="3:8">
      <c r="C164" s="117">
        <v>3</v>
      </c>
      <c r="D164" s="120">
        <v>64</v>
      </c>
      <c r="E164" s="2">
        <f t="shared" si="6"/>
        <v>4.6875E-2</v>
      </c>
      <c r="F164" s="2">
        <f t="shared" ref="F164:F225" si="8">F163</f>
        <v>0.96062992125984259</v>
      </c>
      <c r="G164" s="2">
        <f t="shared" si="7"/>
        <v>0.91375492125984259</v>
      </c>
      <c r="H164" s="121" t="s">
        <v>244</v>
      </c>
    </row>
    <row r="165" spans="3:8">
      <c r="C165" s="117">
        <v>4</v>
      </c>
      <c r="D165" s="120">
        <v>64</v>
      </c>
      <c r="E165" s="2">
        <f t="shared" si="6"/>
        <v>6.25E-2</v>
      </c>
      <c r="F165" s="2">
        <f t="shared" si="8"/>
        <v>0.96062992125984259</v>
      </c>
      <c r="G165" s="2">
        <f t="shared" si="7"/>
        <v>0.89812992125984259</v>
      </c>
      <c r="H165" s="121" t="s">
        <v>245</v>
      </c>
    </row>
    <row r="166" spans="3:8">
      <c r="C166" s="117">
        <v>5</v>
      </c>
      <c r="D166" s="120">
        <v>64</v>
      </c>
      <c r="E166" s="2">
        <f t="shared" si="6"/>
        <v>7.8125E-2</v>
      </c>
      <c r="F166" s="2">
        <f t="shared" si="8"/>
        <v>0.96062992125984259</v>
      </c>
      <c r="G166" s="2">
        <f t="shared" si="7"/>
        <v>0.88250492125984259</v>
      </c>
      <c r="H166" s="121" t="s">
        <v>246</v>
      </c>
    </row>
    <row r="167" spans="3:8">
      <c r="C167" s="117">
        <v>6</v>
      </c>
      <c r="D167" s="120">
        <v>64</v>
      </c>
      <c r="E167" s="2">
        <f t="shared" si="6"/>
        <v>9.375E-2</v>
      </c>
      <c r="F167" s="2">
        <f t="shared" si="8"/>
        <v>0.96062992125984259</v>
      </c>
      <c r="G167" s="2">
        <f t="shared" si="7"/>
        <v>0.86687992125984259</v>
      </c>
      <c r="H167" s="121" t="s">
        <v>247</v>
      </c>
    </row>
    <row r="168" spans="3:8">
      <c r="C168" s="117">
        <v>7</v>
      </c>
      <c r="D168" s="120">
        <v>64</v>
      </c>
      <c r="E168" s="2">
        <f t="shared" si="6"/>
        <v>0.109375</v>
      </c>
      <c r="F168" s="2">
        <f t="shared" si="8"/>
        <v>0.96062992125984259</v>
      </c>
      <c r="G168" s="2">
        <f t="shared" si="7"/>
        <v>0.85125492125984259</v>
      </c>
      <c r="H168" s="121" t="s">
        <v>248</v>
      </c>
    </row>
    <row r="169" spans="3:8">
      <c r="C169" s="117">
        <v>8</v>
      </c>
      <c r="D169" s="120">
        <v>64</v>
      </c>
      <c r="E169" s="2">
        <f t="shared" si="6"/>
        <v>0.125</v>
      </c>
      <c r="F169" s="2">
        <f t="shared" si="8"/>
        <v>0.96062992125984259</v>
      </c>
      <c r="G169" s="2">
        <f t="shared" si="7"/>
        <v>0.83562992125984259</v>
      </c>
      <c r="H169" s="121" t="s">
        <v>249</v>
      </c>
    </row>
    <row r="170" spans="3:8">
      <c r="C170" s="117">
        <v>9</v>
      </c>
      <c r="D170" s="120">
        <v>64</v>
      </c>
      <c r="E170" s="2">
        <f t="shared" si="6"/>
        <v>0.140625</v>
      </c>
      <c r="F170" s="2">
        <f t="shared" si="8"/>
        <v>0.96062992125984259</v>
      </c>
      <c r="G170" s="2">
        <f t="shared" si="7"/>
        <v>0.82000492125984259</v>
      </c>
      <c r="H170" s="121" t="s">
        <v>250</v>
      </c>
    </row>
    <row r="171" spans="3:8">
      <c r="C171" s="117">
        <v>10</v>
      </c>
      <c r="D171" s="120">
        <v>64</v>
      </c>
      <c r="E171" s="2">
        <f t="shared" si="6"/>
        <v>0.15625</v>
      </c>
      <c r="F171" s="2">
        <f t="shared" si="8"/>
        <v>0.96062992125984259</v>
      </c>
      <c r="G171" s="2">
        <f t="shared" si="7"/>
        <v>0.80437992125984259</v>
      </c>
      <c r="H171" s="121" t="s">
        <v>251</v>
      </c>
    </row>
    <row r="172" spans="3:8">
      <c r="C172" s="117">
        <v>11</v>
      </c>
      <c r="D172" s="120">
        <v>64</v>
      </c>
      <c r="E172" s="2">
        <f t="shared" si="6"/>
        <v>0.171875</v>
      </c>
      <c r="F172" s="2">
        <f t="shared" si="8"/>
        <v>0.96062992125984259</v>
      </c>
      <c r="G172" s="2">
        <f t="shared" si="7"/>
        <v>0.78875492125984259</v>
      </c>
      <c r="H172" s="121" t="s">
        <v>252</v>
      </c>
    </row>
    <row r="173" spans="3:8">
      <c r="C173" s="117">
        <v>12</v>
      </c>
      <c r="D173" s="120">
        <v>64</v>
      </c>
      <c r="E173" s="2">
        <f t="shared" si="6"/>
        <v>0.1875</v>
      </c>
      <c r="F173" s="2">
        <f t="shared" si="8"/>
        <v>0.96062992125984259</v>
      </c>
      <c r="G173" s="2">
        <f t="shared" si="7"/>
        <v>0.77312992125984259</v>
      </c>
      <c r="H173" s="121" t="s">
        <v>253</v>
      </c>
    </row>
    <row r="174" spans="3:8">
      <c r="C174" s="117">
        <v>13</v>
      </c>
      <c r="D174" s="120">
        <v>64</v>
      </c>
      <c r="E174" s="2">
        <f t="shared" si="6"/>
        <v>0.203125</v>
      </c>
      <c r="F174" s="2">
        <f t="shared" si="8"/>
        <v>0.96062992125984259</v>
      </c>
      <c r="G174" s="2">
        <f t="shared" si="7"/>
        <v>0.75750492125984259</v>
      </c>
      <c r="H174" s="121" t="s">
        <v>254</v>
      </c>
    </row>
    <row r="175" spans="3:8">
      <c r="C175" s="117">
        <v>14</v>
      </c>
      <c r="D175" s="120">
        <v>64</v>
      </c>
      <c r="E175" s="2">
        <f t="shared" si="6"/>
        <v>0.21875</v>
      </c>
      <c r="F175" s="2">
        <f t="shared" si="8"/>
        <v>0.96062992125984259</v>
      </c>
      <c r="G175" s="2">
        <f t="shared" si="7"/>
        <v>0.74187992125984259</v>
      </c>
      <c r="H175" s="121" t="s">
        <v>255</v>
      </c>
    </row>
    <row r="176" spans="3:8">
      <c r="C176" s="117">
        <v>15</v>
      </c>
      <c r="D176" s="120">
        <v>64</v>
      </c>
      <c r="E176" s="2">
        <f t="shared" si="6"/>
        <v>0.234375</v>
      </c>
      <c r="F176" s="2">
        <f t="shared" si="8"/>
        <v>0.96062992125984259</v>
      </c>
      <c r="G176" s="2">
        <f t="shared" si="7"/>
        <v>0.72625492125984259</v>
      </c>
      <c r="H176" s="121" t="s">
        <v>256</v>
      </c>
    </row>
    <row r="177" spans="3:8">
      <c r="C177" s="117">
        <v>16</v>
      </c>
      <c r="D177" s="120">
        <v>64</v>
      </c>
      <c r="E177" s="2">
        <f t="shared" si="6"/>
        <v>0.25</v>
      </c>
      <c r="F177" s="2">
        <f t="shared" si="8"/>
        <v>0.96062992125984259</v>
      </c>
      <c r="G177" s="2">
        <f t="shared" si="7"/>
        <v>0.71062992125984259</v>
      </c>
      <c r="H177" s="121" t="s">
        <v>257</v>
      </c>
    </row>
    <row r="178" spans="3:8">
      <c r="C178" s="117">
        <v>17</v>
      </c>
      <c r="D178" s="120">
        <v>64</v>
      </c>
      <c r="E178" s="2">
        <f t="shared" si="6"/>
        <v>0.265625</v>
      </c>
      <c r="F178" s="2">
        <f t="shared" si="8"/>
        <v>0.96062992125984259</v>
      </c>
      <c r="G178" s="2">
        <f t="shared" si="7"/>
        <v>0.69500492125984259</v>
      </c>
      <c r="H178" s="121" t="s">
        <v>258</v>
      </c>
    </row>
    <row r="179" spans="3:8">
      <c r="C179" s="117">
        <v>18</v>
      </c>
      <c r="D179" s="120">
        <v>64</v>
      </c>
      <c r="E179" s="2">
        <f t="shared" si="6"/>
        <v>0.28125</v>
      </c>
      <c r="F179" s="2">
        <f t="shared" si="8"/>
        <v>0.96062992125984259</v>
      </c>
      <c r="G179" s="2">
        <f t="shared" si="7"/>
        <v>0.67937992125984259</v>
      </c>
      <c r="H179" s="121" t="s">
        <v>259</v>
      </c>
    </row>
    <row r="180" spans="3:8">
      <c r="C180" s="117">
        <v>19</v>
      </c>
      <c r="D180" s="120">
        <v>64</v>
      </c>
      <c r="E180" s="2">
        <f t="shared" si="6"/>
        <v>0.296875</v>
      </c>
      <c r="F180" s="2">
        <f t="shared" si="8"/>
        <v>0.96062992125984259</v>
      </c>
      <c r="G180" s="2">
        <f t="shared" si="7"/>
        <v>0.66375492125984259</v>
      </c>
      <c r="H180" s="121" t="s">
        <v>260</v>
      </c>
    </row>
    <row r="181" spans="3:8">
      <c r="C181" s="117">
        <v>20</v>
      </c>
      <c r="D181" s="120">
        <v>64</v>
      </c>
      <c r="E181" s="2">
        <f t="shared" si="6"/>
        <v>0.3125</v>
      </c>
      <c r="F181" s="2">
        <f t="shared" si="8"/>
        <v>0.96062992125984259</v>
      </c>
      <c r="G181" s="2">
        <f t="shared" si="7"/>
        <v>0.64812992125984259</v>
      </c>
      <c r="H181" s="121" t="s">
        <v>261</v>
      </c>
    </row>
    <row r="182" spans="3:8">
      <c r="C182" s="117">
        <v>21</v>
      </c>
      <c r="D182" s="120">
        <v>64</v>
      </c>
      <c r="E182" s="2">
        <f t="shared" si="6"/>
        <v>0.328125</v>
      </c>
      <c r="F182" s="2">
        <f t="shared" si="8"/>
        <v>0.96062992125984259</v>
      </c>
      <c r="G182" s="2">
        <f t="shared" si="7"/>
        <v>0.63250492125984259</v>
      </c>
      <c r="H182" s="121" t="s">
        <v>262</v>
      </c>
    </row>
    <row r="183" spans="3:8">
      <c r="C183" s="117">
        <v>22</v>
      </c>
      <c r="D183" s="120">
        <v>64</v>
      </c>
      <c r="E183" s="2">
        <f t="shared" si="6"/>
        <v>0.34375</v>
      </c>
      <c r="F183" s="2">
        <f t="shared" si="8"/>
        <v>0.96062992125984259</v>
      </c>
      <c r="G183" s="2">
        <f t="shared" si="7"/>
        <v>0.61687992125984259</v>
      </c>
      <c r="H183" s="121" t="s">
        <v>263</v>
      </c>
    </row>
    <row r="184" spans="3:8">
      <c r="C184" s="117">
        <v>23</v>
      </c>
      <c r="D184" s="120">
        <v>64</v>
      </c>
      <c r="E184" s="2">
        <f t="shared" si="6"/>
        <v>0.359375</v>
      </c>
      <c r="F184" s="2">
        <f t="shared" si="8"/>
        <v>0.96062992125984259</v>
      </c>
      <c r="G184" s="2">
        <f t="shared" si="7"/>
        <v>0.60125492125984259</v>
      </c>
      <c r="H184" s="121" t="s">
        <v>264</v>
      </c>
    </row>
    <row r="185" spans="3:8">
      <c r="C185" s="117">
        <v>24</v>
      </c>
      <c r="D185" s="120">
        <v>64</v>
      </c>
      <c r="E185" s="2">
        <f t="shared" si="6"/>
        <v>0.375</v>
      </c>
      <c r="F185" s="2">
        <f t="shared" si="8"/>
        <v>0.96062992125984259</v>
      </c>
      <c r="G185" s="2">
        <f t="shared" si="7"/>
        <v>0.58562992125984259</v>
      </c>
      <c r="H185" s="121" t="s">
        <v>265</v>
      </c>
    </row>
    <row r="186" spans="3:8">
      <c r="C186" s="117">
        <v>25</v>
      </c>
      <c r="D186" s="120">
        <v>64</v>
      </c>
      <c r="E186" s="2">
        <f t="shared" si="6"/>
        <v>0.390625</v>
      </c>
      <c r="F186" s="2">
        <f t="shared" si="8"/>
        <v>0.96062992125984259</v>
      </c>
      <c r="G186" s="2">
        <f t="shared" si="7"/>
        <v>0.57000492125984259</v>
      </c>
      <c r="H186" s="121" t="s">
        <v>266</v>
      </c>
    </row>
    <row r="187" spans="3:8">
      <c r="C187" s="117">
        <v>26</v>
      </c>
      <c r="D187" s="120">
        <v>64</v>
      </c>
      <c r="E187" s="2">
        <f t="shared" si="6"/>
        <v>0.40625</v>
      </c>
      <c r="F187" s="2">
        <f t="shared" si="8"/>
        <v>0.96062992125984259</v>
      </c>
      <c r="G187" s="2">
        <f t="shared" si="7"/>
        <v>0.55437992125984259</v>
      </c>
      <c r="H187" s="121" t="s">
        <v>267</v>
      </c>
    </row>
    <row r="188" spans="3:8">
      <c r="C188" s="117">
        <v>27</v>
      </c>
      <c r="D188" s="120">
        <v>64</v>
      </c>
      <c r="E188" s="2">
        <f t="shared" si="6"/>
        <v>0.421875</v>
      </c>
      <c r="F188" s="2">
        <f t="shared" si="8"/>
        <v>0.96062992125984259</v>
      </c>
      <c r="G188" s="2">
        <f t="shared" si="7"/>
        <v>0.53875492125984259</v>
      </c>
      <c r="H188" s="121" t="s">
        <v>268</v>
      </c>
    </row>
    <row r="189" spans="3:8">
      <c r="C189" s="117">
        <v>28</v>
      </c>
      <c r="D189" s="120">
        <v>64</v>
      </c>
      <c r="E189" s="2">
        <f t="shared" si="6"/>
        <v>0.4375</v>
      </c>
      <c r="F189" s="2">
        <f t="shared" si="8"/>
        <v>0.96062992125984259</v>
      </c>
      <c r="G189" s="2">
        <f t="shared" si="7"/>
        <v>0.52312992125984259</v>
      </c>
      <c r="H189" s="121" t="s">
        <v>269</v>
      </c>
    </row>
    <row r="190" spans="3:8">
      <c r="C190" s="117">
        <v>29</v>
      </c>
      <c r="D190" s="120">
        <v>64</v>
      </c>
      <c r="E190" s="2">
        <f t="shared" si="6"/>
        <v>0.453125</v>
      </c>
      <c r="F190" s="2">
        <f t="shared" si="8"/>
        <v>0.96062992125984259</v>
      </c>
      <c r="G190" s="2">
        <f t="shared" si="7"/>
        <v>0.50750492125984259</v>
      </c>
      <c r="H190" s="121" t="s">
        <v>270</v>
      </c>
    </row>
    <row r="191" spans="3:8">
      <c r="C191" s="117">
        <v>30</v>
      </c>
      <c r="D191" s="120">
        <v>64</v>
      </c>
      <c r="E191" s="2">
        <f t="shared" si="6"/>
        <v>0.46875</v>
      </c>
      <c r="F191" s="2">
        <f t="shared" si="8"/>
        <v>0.96062992125984259</v>
      </c>
      <c r="G191" s="2">
        <f t="shared" si="7"/>
        <v>0.49187992125984259</v>
      </c>
      <c r="H191" s="121" t="s">
        <v>271</v>
      </c>
    </row>
    <row r="192" spans="3:8">
      <c r="C192" s="117">
        <v>31</v>
      </c>
      <c r="D192" s="120">
        <v>64</v>
      </c>
      <c r="E192" s="2">
        <f t="shared" si="6"/>
        <v>0.484375</v>
      </c>
      <c r="F192" s="2">
        <f t="shared" si="8"/>
        <v>0.96062992125984259</v>
      </c>
      <c r="G192" s="2">
        <f t="shared" si="7"/>
        <v>0.47625492125984259</v>
      </c>
      <c r="H192" s="121" t="s">
        <v>272</v>
      </c>
    </row>
    <row r="193" spans="3:8">
      <c r="C193" s="117">
        <v>32</v>
      </c>
      <c r="D193" s="120">
        <v>64</v>
      </c>
      <c r="E193" s="2">
        <f t="shared" si="6"/>
        <v>0.5</v>
      </c>
      <c r="F193" s="2">
        <f t="shared" si="8"/>
        <v>0.96062992125984259</v>
      </c>
      <c r="G193" s="2">
        <f t="shared" si="7"/>
        <v>0.46062992125984259</v>
      </c>
      <c r="H193" s="121" t="s">
        <v>273</v>
      </c>
    </row>
    <row r="194" spans="3:8">
      <c r="C194" s="117">
        <v>33</v>
      </c>
      <c r="D194" s="120">
        <v>64</v>
      </c>
      <c r="E194" s="2">
        <f t="shared" si="6"/>
        <v>0.515625</v>
      </c>
      <c r="F194" s="2">
        <f t="shared" si="8"/>
        <v>0.96062992125984259</v>
      </c>
      <c r="G194" s="2">
        <f t="shared" si="7"/>
        <v>0.44500492125984259</v>
      </c>
      <c r="H194" s="121" t="s">
        <v>274</v>
      </c>
    </row>
    <row r="195" spans="3:8">
      <c r="C195" s="117">
        <v>34</v>
      </c>
      <c r="D195" s="120">
        <v>64</v>
      </c>
      <c r="E195" s="2">
        <f t="shared" si="6"/>
        <v>0.53125</v>
      </c>
      <c r="F195" s="2">
        <f t="shared" si="8"/>
        <v>0.96062992125984259</v>
      </c>
      <c r="G195" s="2">
        <f t="shared" si="7"/>
        <v>0.42937992125984259</v>
      </c>
      <c r="H195" s="121" t="s">
        <v>275</v>
      </c>
    </row>
    <row r="196" spans="3:8">
      <c r="C196" s="117">
        <v>35</v>
      </c>
      <c r="D196" s="120">
        <v>64</v>
      </c>
      <c r="E196" s="2">
        <f t="shared" si="6"/>
        <v>0.546875</v>
      </c>
      <c r="F196" s="2">
        <f t="shared" si="8"/>
        <v>0.96062992125984259</v>
      </c>
      <c r="G196" s="2">
        <f t="shared" si="7"/>
        <v>0.41375492125984259</v>
      </c>
      <c r="H196" s="121" t="s">
        <v>276</v>
      </c>
    </row>
    <row r="197" spans="3:8">
      <c r="C197" s="117">
        <v>36</v>
      </c>
      <c r="D197" s="120">
        <v>64</v>
      </c>
      <c r="E197" s="2">
        <f t="shared" si="6"/>
        <v>0.5625</v>
      </c>
      <c r="F197" s="2">
        <f t="shared" si="8"/>
        <v>0.96062992125984259</v>
      </c>
      <c r="G197" s="2">
        <f t="shared" si="7"/>
        <v>0.39812992125984259</v>
      </c>
      <c r="H197" s="121" t="s">
        <v>277</v>
      </c>
    </row>
    <row r="198" spans="3:8">
      <c r="C198" s="117">
        <v>37</v>
      </c>
      <c r="D198" s="120">
        <v>64</v>
      </c>
      <c r="E198" s="2">
        <f t="shared" si="6"/>
        <v>0.578125</v>
      </c>
      <c r="F198" s="2">
        <f t="shared" si="8"/>
        <v>0.96062992125984259</v>
      </c>
      <c r="G198" s="2">
        <f t="shared" si="7"/>
        <v>0.38250492125984259</v>
      </c>
      <c r="H198" s="121" t="s">
        <v>278</v>
      </c>
    </row>
    <row r="199" spans="3:8">
      <c r="C199" s="117">
        <v>38</v>
      </c>
      <c r="D199" s="120">
        <v>64</v>
      </c>
      <c r="E199" s="2">
        <f t="shared" si="6"/>
        <v>0.59375</v>
      </c>
      <c r="F199" s="2">
        <f t="shared" si="8"/>
        <v>0.96062992125984259</v>
      </c>
      <c r="G199" s="2">
        <f t="shared" si="7"/>
        <v>0.36687992125984259</v>
      </c>
      <c r="H199" s="121" t="s">
        <v>279</v>
      </c>
    </row>
    <row r="200" spans="3:8">
      <c r="C200" s="117">
        <v>39</v>
      </c>
      <c r="D200" s="120">
        <v>64</v>
      </c>
      <c r="E200" s="2">
        <f t="shared" si="6"/>
        <v>0.609375</v>
      </c>
      <c r="F200" s="2">
        <f t="shared" si="8"/>
        <v>0.96062992125984259</v>
      </c>
      <c r="G200" s="2">
        <f t="shared" si="7"/>
        <v>0.35125492125984259</v>
      </c>
      <c r="H200" s="121" t="s">
        <v>280</v>
      </c>
    </row>
    <row r="201" spans="3:8">
      <c r="C201" s="117">
        <v>40</v>
      </c>
      <c r="D201" s="120">
        <v>64</v>
      </c>
      <c r="E201" s="2">
        <f t="shared" si="6"/>
        <v>0.625</v>
      </c>
      <c r="F201" s="2">
        <f t="shared" si="8"/>
        <v>0.96062992125984259</v>
      </c>
      <c r="G201" s="2">
        <f t="shared" si="7"/>
        <v>0.33562992125984259</v>
      </c>
      <c r="H201" s="121" t="s">
        <v>281</v>
      </c>
    </row>
    <row r="202" spans="3:8">
      <c r="C202" s="117">
        <v>41</v>
      </c>
      <c r="D202" s="120">
        <v>64</v>
      </c>
      <c r="E202" s="2">
        <f t="shared" si="6"/>
        <v>0.640625</v>
      </c>
      <c r="F202" s="2">
        <f t="shared" si="8"/>
        <v>0.96062992125984259</v>
      </c>
      <c r="G202" s="2">
        <f t="shared" si="7"/>
        <v>0.32000492125984259</v>
      </c>
      <c r="H202" s="121" t="s">
        <v>282</v>
      </c>
    </row>
    <row r="203" spans="3:8">
      <c r="C203" s="117">
        <v>42</v>
      </c>
      <c r="D203" s="120">
        <v>64</v>
      </c>
      <c r="E203" s="2">
        <f t="shared" si="6"/>
        <v>0.65625</v>
      </c>
      <c r="F203" s="2">
        <f t="shared" si="8"/>
        <v>0.96062992125984259</v>
      </c>
      <c r="G203" s="2">
        <f t="shared" si="7"/>
        <v>0.30437992125984259</v>
      </c>
      <c r="H203" s="121" t="s">
        <v>283</v>
      </c>
    </row>
    <row r="204" spans="3:8">
      <c r="C204" s="117">
        <v>43</v>
      </c>
      <c r="D204" s="120">
        <v>64</v>
      </c>
      <c r="E204" s="2">
        <f t="shared" si="6"/>
        <v>0.671875</v>
      </c>
      <c r="F204" s="2">
        <f t="shared" si="8"/>
        <v>0.96062992125984259</v>
      </c>
      <c r="G204" s="2">
        <f t="shared" si="7"/>
        <v>0.28875492125984259</v>
      </c>
      <c r="H204" s="121" t="s">
        <v>284</v>
      </c>
    </row>
    <row r="205" spans="3:8">
      <c r="C205" s="117">
        <v>44</v>
      </c>
      <c r="D205" s="120">
        <v>64</v>
      </c>
      <c r="E205" s="2">
        <f t="shared" si="6"/>
        <v>0.6875</v>
      </c>
      <c r="F205" s="2">
        <f t="shared" si="8"/>
        <v>0.96062992125984259</v>
      </c>
      <c r="G205" s="2">
        <f t="shared" si="7"/>
        <v>0.27312992125984259</v>
      </c>
      <c r="H205" s="121" t="s">
        <v>285</v>
      </c>
    </row>
    <row r="206" spans="3:8">
      <c r="C206" s="117">
        <v>45</v>
      </c>
      <c r="D206" s="120">
        <v>64</v>
      </c>
      <c r="E206" s="2">
        <f t="shared" si="6"/>
        <v>0.703125</v>
      </c>
      <c r="F206" s="2">
        <f t="shared" si="8"/>
        <v>0.96062992125984259</v>
      </c>
      <c r="G206" s="2">
        <f t="shared" si="7"/>
        <v>0.25750492125984259</v>
      </c>
      <c r="H206" s="121" t="s">
        <v>286</v>
      </c>
    </row>
    <row r="207" spans="3:8">
      <c r="C207" s="117">
        <v>46</v>
      </c>
      <c r="D207" s="120">
        <v>64</v>
      </c>
      <c r="E207" s="2">
        <f t="shared" si="6"/>
        <v>0.71875</v>
      </c>
      <c r="F207" s="2">
        <f t="shared" si="8"/>
        <v>0.96062992125984259</v>
      </c>
      <c r="G207" s="2">
        <f t="shared" si="7"/>
        <v>0.24187992125984259</v>
      </c>
      <c r="H207" s="121" t="s">
        <v>287</v>
      </c>
    </row>
    <row r="208" spans="3:8">
      <c r="C208" s="117">
        <v>47</v>
      </c>
      <c r="D208" s="120">
        <v>64</v>
      </c>
      <c r="E208" s="2">
        <f t="shared" si="6"/>
        <v>0.734375</v>
      </c>
      <c r="F208" s="2">
        <f t="shared" si="8"/>
        <v>0.96062992125984259</v>
      </c>
      <c r="G208" s="2">
        <f t="shared" si="7"/>
        <v>0.22625492125984259</v>
      </c>
      <c r="H208" s="121" t="s">
        <v>288</v>
      </c>
    </row>
    <row r="209" spans="3:8">
      <c r="C209" s="117">
        <v>48</v>
      </c>
      <c r="D209" s="120">
        <v>64</v>
      </c>
      <c r="E209" s="2">
        <f t="shared" si="6"/>
        <v>0.75</v>
      </c>
      <c r="F209" s="2">
        <f t="shared" si="8"/>
        <v>0.96062992125984259</v>
      </c>
      <c r="G209" s="2">
        <f t="shared" si="7"/>
        <v>0.21062992125984259</v>
      </c>
      <c r="H209" s="121" t="s">
        <v>289</v>
      </c>
    </row>
    <row r="210" spans="3:8">
      <c r="C210" s="117">
        <v>49</v>
      </c>
      <c r="D210" s="120">
        <v>64</v>
      </c>
      <c r="E210" s="2">
        <f t="shared" si="6"/>
        <v>0.765625</v>
      </c>
      <c r="F210" s="2">
        <f t="shared" si="8"/>
        <v>0.96062992125984259</v>
      </c>
      <c r="G210" s="2">
        <f t="shared" si="7"/>
        <v>0.19500492125984259</v>
      </c>
      <c r="H210" s="121" t="s">
        <v>290</v>
      </c>
    </row>
    <row r="211" spans="3:8">
      <c r="C211" s="117">
        <v>50</v>
      </c>
      <c r="D211" s="120">
        <v>64</v>
      </c>
      <c r="E211" s="2">
        <f t="shared" si="6"/>
        <v>0.78125</v>
      </c>
      <c r="F211" s="2">
        <f t="shared" si="8"/>
        <v>0.96062992125984259</v>
      </c>
      <c r="G211" s="2">
        <f t="shared" si="7"/>
        <v>0.17937992125984259</v>
      </c>
      <c r="H211" s="121" t="s">
        <v>291</v>
      </c>
    </row>
    <row r="212" spans="3:8">
      <c r="C212" s="117">
        <v>51</v>
      </c>
      <c r="D212" s="120">
        <v>64</v>
      </c>
      <c r="E212" s="2">
        <f t="shared" si="6"/>
        <v>0.796875</v>
      </c>
      <c r="F212" s="2">
        <f t="shared" si="8"/>
        <v>0.96062992125984259</v>
      </c>
      <c r="G212" s="2">
        <f t="shared" si="7"/>
        <v>0.16375492125984259</v>
      </c>
      <c r="H212" s="121" t="s">
        <v>292</v>
      </c>
    </row>
    <row r="213" spans="3:8">
      <c r="C213" s="117">
        <v>52</v>
      </c>
      <c r="D213" s="120">
        <v>64</v>
      </c>
      <c r="E213" s="2">
        <f t="shared" si="6"/>
        <v>0.8125</v>
      </c>
      <c r="F213" s="2">
        <f t="shared" si="8"/>
        <v>0.96062992125984259</v>
      </c>
      <c r="G213" s="2">
        <f t="shared" si="7"/>
        <v>0.14812992125984259</v>
      </c>
      <c r="H213" s="121" t="s">
        <v>293</v>
      </c>
    </row>
    <row r="214" spans="3:8">
      <c r="C214" s="117">
        <v>53</v>
      </c>
      <c r="D214" s="120">
        <v>64</v>
      </c>
      <c r="E214" s="2">
        <f t="shared" si="6"/>
        <v>0.828125</v>
      </c>
      <c r="F214" s="2">
        <f t="shared" si="8"/>
        <v>0.96062992125984259</v>
      </c>
      <c r="G214" s="2">
        <f t="shared" si="7"/>
        <v>0.13250492125984259</v>
      </c>
      <c r="H214" s="121" t="s">
        <v>294</v>
      </c>
    </row>
    <row r="215" spans="3:8">
      <c r="C215" s="117">
        <v>54</v>
      </c>
      <c r="D215" s="120">
        <v>64</v>
      </c>
      <c r="E215" s="2">
        <f t="shared" si="6"/>
        <v>0.84375</v>
      </c>
      <c r="F215" s="2">
        <f t="shared" si="8"/>
        <v>0.96062992125984259</v>
      </c>
      <c r="G215" s="2">
        <f t="shared" si="7"/>
        <v>0.11687992125984259</v>
      </c>
      <c r="H215" s="121" t="s">
        <v>295</v>
      </c>
    </row>
    <row r="216" spans="3:8">
      <c r="C216" s="117">
        <v>55</v>
      </c>
      <c r="D216" s="120">
        <v>64</v>
      </c>
      <c r="E216" s="2">
        <f t="shared" si="6"/>
        <v>0.859375</v>
      </c>
      <c r="F216" s="2">
        <f t="shared" si="8"/>
        <v>0.96062992125984259</v>
      </c>
      <c r="G216" s="2">
        <f t="shared" si="7"/>
        <v>0.10125492125984259</v>
      </c>
      <c r="H216" s="121" t="s">
        <v>296</v>
      </c>
    </row>
    <row r="217" spans="3:8">
      <c r="C217" s="117">
        <v>56</v>
      </c>
      <c r="D217" s="120">
        <v>64</v>
      </c>
      <c r="E217" s="2">
        <f t="shared" si="6"/>
        <v>0.875</v>
      </c>
      <c r="F217" s="2">
        <f t="shared" si="8"/>
        <v>0.96062992125984259</v>
      </c>
      <c r="G217" s="2">
        <f t="shared" si="7"/>
        <v>8.562992125984259E-2</v>
      </c>
      <c r="H217" s="121" t="s">
        <v>297</v>
      </c>
    </row>
    <row r="218" spans="3:8">
      <c r="C218" s="117">
        <v>57</v>
      </c>
      <c r="D218" s="120">
        <v>64</v>
      </c>
      <c r="E218" s="2">
        <f t="shared" si="6"/>
        <v>0.890625</v>
      </c>
      <c r="F218" s="2">
        <f t="shared" si="8"/>
        <v>0.96062992125984259</v>
      </c>
      <c r="G218" s="2">
        <f t="shared" si="7"/>
        <v>7.000492125984259E-2</v>
      </c>
      <c r="H218" s="121" t="s">
        <v>298</v>
      </c>
    </row>
    <row r="219" spans="3:8">
      <c r="C219" s="117">
        <v>58</v>
      </c>
      <c r="D219" s="120">
        <v>64</v>
      </c>
      <c r="E219" s="2">
        <f t="shared" si="6"/>
        <v>0.90625</v>
      </c>
      <c r="F219" s="2">
        <f t="shared" si="8"/>
        <v>0.96062992125984259</v>
      </c>
      <c r="G219" s="2">
        <f t="shared" si="7"/>
        <v>5.437992125984259E-2</v>
      </c>
      <c r="H219" s="121" t="s">
        <v>299</v>
      </c>
    </row>
    <row r="220" spans="3:8">
      <c r="C220" s="117">
        <v>59</v>
      </c>
      <c r="D220" s="120">
        <v>64</v>
      </c>
      <c r="E220" s="2">
        <f t="shared" si="6"/>
        <v>0.921875</v>
      </c>
      <c r="F220" s="2">
        <f t="shared" si="8"/>
        <v>0.96062992125984259</v>
      </c>
      <c r="G220" s="2">
        <f t="shared" si="7"/>
        <v>3.875492125984259E-2</v>
      </c>
      <c r="H220" s="121" t="s">
        <v>300</v>
      </c>
    </row>
    <row r="221" spans="3:8">
      <c r="C221" s="117">
        <v>60</v>
      </c>
      <c r="D221" s="120">
        <v>64</v>
      </c>
      <c r="E221" s="2">
        <f t="shared" si="6"/>
        <v>0.9375</v>
      </c>
      <c r="F221" s="2">
        <f t="shared" si="8"/>
        <v>0.96062992125984259</v>
      </c>
      <c r="G221" s="2">
        <f t="shared" si="7"/>
        <v>2.312992125984259E-2</v>
      </c>
      <c r="H221" s="121" t="s">
        <v>301</v>
      </c>
    </row>
    <row r="222" spans="3:8">
      <c r="C222" s="117">
        <v>61</v>
      </c>
      <c r="D222" s="120">
        <v>64</v>
      </c>
      <c r="E222" s="2">
        <f t="shared" si="6"/>
        <v>0.953125</v>
      </c>
      <c r="F222" s="2">
        <f t="shared" si="8"/>
        <v>0.96062992125984259</v>
      </c>
      <c r="G222" s="2">
        <f t="shared" si="7"/>
        <v>7.5049212598425896E-3</v>
      </c>
      <c r="H222" s="121" t="s">
        <v>302</v>
      </c>
    </row>
    <row r="223" spans="3:8">
      <c r="C223" s="117">
        <v>62</v>
      </c>
      <c r="D223" s="120">
        <v>64</v>
      </c>
      <c r="E223" s="2">
        <f t="shared" si="6"/>
        <v>0.96875</v>
      </c>
      <c r="F223" s="2">
        <f t="shared" si="8"/>
        <v>0.96062992125984259</v>
      </c>
      <c r="G223" s="2">
        <f t="shared" si="7"/>
        <v>8.1200787401574104E-3</v>
      </c>
      <c r="H223" s="121" t="s">
        <v>303</v>
      </c>
    </row>
    <row r="224" spans="3:8">
      <c r="C224" s="117">
        <v>63</v>
      </c>
      <c r="D224" s="120">
        <v>64</v>
      </c>
      <c r="E224" s="2">
        <f t="shared" si="6"/>
        <v>0.984375</v>
      </c>
      <c r="F224" s="2">
        <f t="shared" si="8"/>
        <v>0.96062992125984259</v>
      </c>
      <c r="G224" s="2">
        <f t="shared" si="7"/>
        <v>2.374507874015741E-2</v>
      </c>
      <c r="H224" s="121" t="s">
        <v>304</v>
      </c>
    </row>
    <row r="225" spans="3:13">
      <c r="C225" s="117">
        <v>64</v>
      </c>
      <c r="D225" s="120">
        <v>64</v>
      </c>
      <c r="E225" s="2">
        <f t="shared" si="6"/>
        <v>1</v>
      </c>
      <c r="F225" s="2">
        <f t="shared" si="8"/>
        <v>0.96062992125984259</v>
      </c>
      <c r="G225" s="2">
        <f t="shared" si="7"/>
        <v>3.937007874015741E-2</v>
      </c>
      <c r="H225" s="121" t="s">
        <v>305</v>
      </c>
    </row>
    <row r="226" spans="3:13" ht="15.75" thickBot="1">
      <c r="C226" s="122"/>
      <c r="D226" s="118"/>
      <c r="E226" s="2"/>
      <c r="F226" s="118"/>
      <c r="G226" s="118">
        <f>MIN(G161:G225)</f>
        <v>7.5049212598425896E-3</v>
      </c>
      <c r="H226" s="123" t="str">
        <f>LOOKUP(G227,C161:C225,H161:H225)</f>
        <v>61/64</v>
      </c>
    </row>
    <row r="227" spans="3:13" ht="15.75" thickBot="1">
      <c r="C227" s="124"/>
      <c r="D227" s="5"/>
      <c r="E227" s="118">
        <f>G227/64</f>
        <v>0.953125</v>
      </c>
      <c r="F227" s="5"/>
      <c r="G227" s="5">
        <f>MATCH(G226,G161:G225,0)-1</f>
        <v>61</v>
      </c>
      <c r="H227" s="125" t="str">
        <f>IF(H226="1","",CONCATENATE("-",H226))</f>
        <v>-61/64</v>
      </c>
    </row>
    <row r="228" spans="3:13">
      <c r="C228" s="117">
        <f>TRUNC(J21)</f>
        <v>9</v>
      </c>
      <c r="D228" s="2">
        <f>IF(H226="1",1,0)</f>
        <v>0</v>
      </c>
      <c r="E228" s="2"/>
      <c r="F228" s="2"/>
      <c r="G228" s="2"/>
      <c r="H228" s="126"/>
    </row>
    <row r="229" spans="3:13">
      <c r="C229" s="117">
        <f>C228+D228</f>
        <v>9</v>
      </c>
      <c r="D229" s="2"/>
      <c r="E229" s="2"/>
      <c r="F229" s="2"/>
      <c r="G229" s="2"/>
      <c r="H229" s="126"/>
    </row>
    <row r="230" spans="3:13">
      <c r="C230" s="117" t="str">
        <f>CONCATENATE(C229,H227)</f>
        <v>9-61/64</v>
      </c>
      <c r="D230" s="127" t="s">
        <v>142</v>
      </c>
      <c r="E230" s="2"/>
      <c r="F230" s="2"/>
      <c r="G230" s="2"/>
      <c r="H230" s="126"/>
    </row>
    <row r="231" spans="3:13" ht="15.75" thickBot="1">
      <c r="C231" s="128">
        <f>C228+E227</f>
        <v>9.953125</v>
      </c>
      <c r="D231" s="129" t="str">
        <f>CONCATENATE("Value of ",," is:" )</f>
        <v>Value of  is:</v>
      </c>
      <c r="E231" s="130"/>
      <c r="F231" s="130"/>
      <c r="G231" s="130"/>
      <c r="H231" s="131"/>
    </row>
    <row r="234" spans="3:13">
      <c r="C234" s="132"/>
      <c r="D234" s="132"/>
      <c r="E234" s="132"/>
      <c r="F234" s="132"/>
      <c r="G234" s="132"/>
      <c r="H234" s="132"/>
      <c r="I234" s="132"/>
      <c r="J234" s="132"/>
      <c r="K234" s="132"/>
      <c r="L234" s="132"/>
      <c r="M234" s="132"/>
    </row>
    <row r="235" spans="3:13">
      <c r="C235" s="132"/>
      <c r="D235" s="132"/>
      <c r="E235" s="132"/>
      <c r="F235" s="132"/>
      <c r="G235" s="132"/>
      <c r="H235" s="132"/>
      <c r="I235" s="132"/>
      <c r="J235" s="132"/>
      <c r="K235" s="132"/>
      <c r="L235" s="132"/>
      <c r="M235" s="132"/>
    </row>
    <row r="236" spans="3:13">
      <c r="C236" s="132" t="s">
        <v>237</v>
      </c>
      <c r="D236" s="132"/>
      <c r="E236" s="132" t="s">
        <v>185</v>
      </c>
      <c r="F236" s="132"/>
      <c r="G236" s="132"/>
      <c r="H236" s="132"/>
      <c r="I236" s="132"/>
      <c r="J236" s="132"/>
      <c r="K236" s="132"/>
      <c r="L236" s="132"/>
    </row>
    <row r="237" spans="3:13">
      <c r="C237" s="132"/>
      <c r="D237" s="132"/>
      <c r="E237" s="132" t="s">
        <v>193</v>
      </c>
      <c r="F237" s="132"/>
      <c r="G237" s="132"/>
      <c r="H237" s="132"/>
      <c r="I237" s="132"/>
      <c r="J237" s="132"/>
      <c r="K237" s="132"/>
      <c r="L237" s="132"/>
    </row>
    <row r="238" spans="3:13">
      <c r="C238" s="132"/>
      <c r="D238" s="132"/>
      <c r="E238" s="132"/>
      <c r="F238" s="132"/>
      <c r="G238" s="132"/>
      <c r="H238" s="132"/>
      <c r="I238" s="132"/>
      <c r="J238" s="132"/>
      <c r="K238" s="132"/>
      <c r="L238" s="132"/>
    </row>
    <row r="239" spans="3:13">
      <c r="C239" s="132"/>
      <c r="D239" s="132" t="s">
        <v>306</v>
      </c>
      <c r="E239" s="132"/>
      <c r="F239" s="132"/>
      <c r="G239" s="132"/>
      <c r="H239" s="132"/>
      <c r="I239" s="132" t="s">
        <v>307</v>
      </c>
      <c r="J239" s="132"/>
      <c r="K239" s="132"/>
      <c r="L239" s="132"/>
    </row>
    <row r="240" spans="3:13">
      <c r="C240" s="132" t="s">
        <v>308</v>
      </c>
      <c r="D240" s="132" t="s">
        <v>309</v>
      </c>
      <c r="E240" s="132" t="s">
        <v>310</v>
      </c>
      <c r="F240" s="132"/>
      <c r="G240" s="132"/>
      <c r="H240" s="132"/>
      <c r="I240" s="132" t="s">
        <v>308</v>
      </c>
      <c r="J240" s="132" t="s">
        <v>311</v>
      </c>
      <c r="K240" s="132"/>
      <c r="L240" s="132"/>
    </row>
    <row r="241" spans="3:12">
      <c r="C241" s="132">
        <v>1</v>
      </c>
      <c r="D241" s="132">
        <v>0</v>
      </c>
      <c r="E241" s="132">
        <v>0.1</v>
      </c>
      <c r="G241" s="132"/>
      <c r="H241" s="132"/>
      <c r="I241" s="132">
        <v>1</v>
      </c>
      <c r="J241" s="178" t="s">
        <v>376</v>
      </c>
      <c r="K241" s="132"/>
      <c r="L241" s="132"/>
    </row>
    <row r="242" spans="3:12">
      <c r="C242" s="133">
        <v>1.125</v>
      </c>
      <c r="D242" s="178" t="s">
        <v>376</v>
      </c>
      <c r="E242" s="178" t="s">
        <v>376</v>
      </c>
      <c r="G242" s="132"/>
      <c r="H242" s="132"/>
      <c r="I242" s="133">
        <v>1.125</v>
      </c>
      <c r="J242" s="178" t="s">
        <v>376</v>
      </c>
      <c r="K242" s="132"/>
      <c r="L242" s="132"/>
    </row>
    <row r="243" spans="3:12">
      <c r="C243" s="132">
        <v>1.25</v>
      </c>
      <c r="D243" s="132">
        <v>0</v>
      </c>
      <c r="E243" s="132">
        <v>0.1</v>
      </c>
      <c r="G243" s="132"/>
      <c r="H243" s="132"/>
      <c r="I243" s="132">
        <v>1.25</v>
      </c>
      <c r="J243" s="178" t="s">
        <v>376</v>
      </c>
      <c r="K243" s="132"/>
      <c r="L243" s="132"/>
    </row>
    <row r="244" spans="3:12">
      <c r="C244" s="133">
        <v>1.375</v>
      </c>
      <c r="D244" s="178" t="s">
        <v>376</v>
      </c>
      <c r="E244" s="178" t="s">
        <v>376</v>
      </c>
      <c r="G244" s="132"/>
      <c r="H244" s="132"/>
      <c r="I244" s="133">
        <v>1.375</v>
      </c>
      <c r="J244" s="178" t="s">
        <v>376</v>
      </c>
      <c r="K244" s="132"/>
      <c r="L244" s="132"/>
    </row>
    <row r="245" spans="3:12">
      <c r="C245" s="132">
        <v>1.5</v>
      </c>
      <c r="D245" s="132">
        <v>0</v>
      </c>
      <c r="E245" s="132">
        <v>0.1</v>
      </c>
      <c r="G245" s="132"/>
      <c r="H245" s="132"/>
      <c r="I245" s="132">
        <v>1.5</v>
      </c>
      <c r="J245" s="178" t="s">
        <v>376</v>
      </c>
      <c r="K245" s="132"/>
      <c r="L245" s="132"/>
    </row>
    <row r="246" spans="3:12">
      <c r="C246" s="133">
        <v>1.75</v>
      </c>
      <c r="D246" s="178" t="s">
        <v>376</v>
      </c>
      <c r="E246" s="178" t="s">
        <v>376</v>
      </c>
      <c r="G246" s="132"/>
      <c r="H246" s="132"/>
      <c r="I246" s="133">
        <v>1.75</v>
      </c>
      <c r="J246" s="178" t="s">
        <v>376</v>
      </c>
      <c r="K246" s="132"/>
      <c r="L246" s="132"/>
    </row>
    <row r="247" spans="3:12">
      <c r="C247" s="132">
        <v>2</v>
      </c>
      <c r="D247" s="132">
        <v>0.08</v>
      </c>
      <c r="E247" s="132">
        <v>0.13</v>
      </c>
      <c r="G247" s="132"/>
      <c r="H247" s="132"/>
      <c r="I247" s="132">
        <v>2</v>
      </c>
      <c r="J247" s="132">
        <v>0.18</v>
      </c>
      <c r="K247" s="132"/>
      <c r="L247" s="132"/>
    </row>
    <row r="248" spans="3:12">
      <c r="C248" s="133">
        <v>2.25</v>
      </c>
      <c r="D248" s="178" t="s">
        <v>376</v>
      </c>
      <c r="E248" s="178" t="s">
        <v>376</v>
      </c>
      <c r="G248" s="132"/>
      <c r="H248" s="132"/>
      <c r="I248" s="133">
        <v>2.25</v>
      </c>
      <c r="J248" s="178" t="s">
        <v>376</v>
      </c>
      <c r="K248" s="132"/>
      <c r="L248" s="132"/>
    </row>
    <row r="249" spans="3:12">
      <c r="C249" s="132">
        <v>2.5</v>
      </c>
      <c r="D249" s="132">
        <v>0.08</v>
      </c>
      <c r="E249" s="132">
        <v>0.13</v>
      </c>
      <c r="G249" s="132"/>
      <c r="H249" s="132"/>
      <c r="I249" s="132">
        <v>2.5</v>
      </c>
      <c r="J249" s="132">
        <v>0.19</v>
      </c>
      <c r="K249" s="132"/>
      <c r="L249" s="132"/>
    </row>
    <row r="250" spans="3:12">
      <c r="C250" s="133">
        <v>2.75</v>
      </c>
      <c r="D250" s="178" t="s">
        <v>376</v>
      </c>
      <c r="E250" s="178" t="s">
        <v>376</v>
      </c>
      <c r="G250" s="132"/>
      <c r="H250" s="132"/>
      <c r="I250" s="133">
        <v>2.75</v>
      </c>
      <c r="J250" s="132">
        <v>0.2</v>
      </c>
      <c r="K250" s="132"/>
      <c r="L250" s="132"/>
    </row>
    <row r="251" spans="3:12">
      <c r="C251" s="132">
        <v>3</v>
      </c>
      <c r="D251" s="132">
        <v>0.1</v>
      </c>
      <c r="E251" s="132">
        <v>0.15</v>
      </c>
      <c r="G251" s="132"/>
      <c r="H251" s="132"/>
      <c r="I251" s="132">
        <v>3</v>
      </c>
      <c r="J251" s="132">
        <v>0.21</v>
      </c>
      <c r="K251" s="132"/>
      <c r="L251" s="132"/>
    </row>
    <row r="252" spans="3:12">
      <c r="C252" s="133">
        <v>3.5</v>
      </c>
      <c r="D252" s="178" t="s">
        <v>376</v>
      </c>
      <c r="E252" s="178" t="s">
        <v>376</v>
      </c>
      <c r="G252" s="132"/>
      <c r="H252" s="132"/>
      <c r="I252" s="133">
        <v>3.5</v>
      </c>
      <c r="J252" s="132">
        <v>0.22</v>
      </c>
      <c r="K252" s="132"/>
      <c r="L252" s="132"/>
    </row>
    <row r="253" spans="3:12">
      <c r="C253" s="132">
        <v>4</v>
      </c>
      <c r="D253" s="132">
        <v>0.13</v>
      </c>
      <c r="E253" s="132">
        <v>0.2</v>
      </c>
      <c r="G253" s="132"/>
      <c r="H253" s="132"/>
      <c r="I253" s="132">
        <v>4</v>
      </c>
      <c r="J253" s="132">
        <v>0.23</v>
      </c>
      <c r="K253" s="132"/>
      <c r="L253" s="132"/>
    </row>
    <row r="254" spans="3:12">
      <c r="C254" s="133">
        <v>4.5</v>
      </c>
      <c r="D254" s="178" t="s">
        <v>376</v>
      </c>
      <c r="E254" s="178" t="s">
        <v>376</v>
      </c>
      <c r="G254" s="132"/>
      <c r="H254" s="132"/>
      <c r="I254" s="133">
        <v>4.5</v>
      </c>
      <c r="J254" s="178" t="s">
        <v>376</v>
      </c>
      <c r="K254" s="132"/>
      <c r="L254" s="132"/>
    </row>
    <row r="255" spans="3:12">
      <c r="C255" s="132">
        <v>5</v>
      </c>
      <c r="D255" s="132">
        <v>0.15</v>
      </c>
      <c r="E255" s="132">
        <v>0.25</v>
      </c>
      <c r="G255" s="132"/>
      <c r="H255" s="132"/>
      <c r="I255" s="132">
        <v>5</v>
      </c>
      <c r="J255" s="132">
        <v>0.28000000000000003</v>
      </c>
      <c r="K255" s="132"/>
      <c r="L255" s="132"/>
    </row>
    <row r="256" spans="3:12">
      <c r="C256" s="133">
        <v>5.5</v>
      </c>
      <c r="D256" s="178" t="s">
        <v>376</v>
      </c>
      <c r="E256" s="178" t="s">
        <v>376</v>
      </c>
      <c r="G256" s="132"/>
      <c r="H256" s="132"/>
      <c r="I256" s="133">
        <v>5.5</v>
      </c>
      <c r="J256" s="178" t="s">
        <v>376</v>
      </c>
      <c r="K256" s="132"/>
      <c r="L256" s="132"/>
    </row>
    <row r="257" spans="3:12">
      <c r="C257" s="132">
        <v>6</v>
      </c>
      <c r="D257" s="132">
        <v>0.2</v>
      </c>
      <c r="E257" s="132">
        <v>0.33</v>
      </c>
      <c r="G257" s="132"/>
      <c r="H257" s="132"/>
      <c r="I257" s="132">
        <v>6</v>
      </c>
      <c r="J257" s="132">
        <v>0.36</v>
      </c>
      <c r="K257" s="132"/>
      <c r="L257" s="132"/>
    </row>
    <row r="258" spans="3:12">
      <c r="C258" s="133">
        <v>7</v>
      </c>
      <c r="D258" s="178" t="s">
        <v>376</v>
      </c>
      <c r="E258" s="178" t="s">
        <v>376</v>
      </c>
      <c r="G258" s="132"/>
      <c r="H258" s="132"/>
      <c r="I258" s="133">
        <v>7</v>
      </c>
      <c r="J258" s="132">
        <v>0.38</v>
      </c>
      <c r="K258" s="132"/>
      <c r="L258" s="132"/>
    </row>
    <row r="259" spans="3:12">
      <c r="C259" s="132">
        <v>8</v>
      </c>
      <c r="D259" s="132">
        <v>0.22</v>
      </c>
      <c r="E259" s="132">
        <v>0.4</v>
      </c>
      <c r="G259" s="132"/>
      <c r="H259" s="132"/>
      <c r="I259" s="132">
        <v>8</v>
      </c>
      <c r="J259" s="132">
        <v>0.4</v>
      </c>
      <c r="K259" s="132"/>
      <c r="L259" s="132"/>
    </row>
    <row r="260" spans="3:12">
      <c r="C260" s="133">
        <v>9</v>
      </c>
      <c r="D260" s="178" t="s">
        <v>376</v>
      </c>
      <c r="E260" s="178" t="s">
        <v>376</v>
      </c>
      <c r="G260" s="132"/>
      <c r="H260" s="132"/>
      <c r="I260" s="133">
        <v>9</v>
      </c>
      <c r="J260" s="178" t="s">
        <v>376</v>
      </c>
      <c r="K260" s="132"/>
      <c r="L260" s="132"/>
    </row>
    <row r="261" spans="3:12">
      <c r="C261" s="132">
        <v>10</v>
      </c>
      <c r="D261" s="132">
        <v>0.3</v>
      </c>
      <c r="E261" s="132">
        <v>0.51</v>
      </c>
      <c r="G261" s="132"/>
      <c r="H261" s="132"/>
      <c r="I261" s="132">
        <v>10</v>
      </c>
      <c r="J261" s="178" t="s">
        <v>376</v>
      </c>
      <c r="K261" s="132"/>
      <c r="L261" s="132"/>
    </row>
    <row r="262" spans="3:12">
      <c r="C262" s="133">
        <v>11</v>
      </c>
      <c r="D262" s="178" t="s">
        <v>376</v>
      </c>
      <c r="E262" s="178" t="s">
        <v>376</v>
      </c>
      <c r="G262" s="132"/>
      <c r="H262" s="132"/>
      <c r="I262" s="133">
        <v>11</v>
      </c>
      <c r="J262" s="178" t="s">
        <v>376</v>
      </c>
      <c r="K262" s="132"/>
      <c r="L262" s="132"/>
    </row>
    <row r="263" spans="3:12">
      <c r="C263" s="132">
        <v>12</v>
      </c>
      <c r="D263" s="132">
        <v>0.35</v>
      </c>
      <c r="E263" s="132">
        <v>0.6</v>
      </c>
      <c r="G263" s="132"/>
      <c r="H263" s="132"/>
      <c r="I263" s="132">
        <v>12</v>
      </c>
      <c r="J263" s="178" t="s">
        <v>376</v>
      </c>
      <c r="K263" s="132"/>
      <c r="L263" s="132"/>
    </row>
    <row r="264" spans="3:12">
      <c r="C264" s="133">
        <v>14</v>
      </c>
      <c r="D264" s="178" t="s">
        <v>376</v>
      </c>
      <c r="E264" s="178" t="s">
        <v>376</v>
      </c>
      <c r="G264" s="132"/>
      <c r="H264" s="132"/>
      <c r="I264" s="133">
        <v>14</v>
      </c>
      <c r="J264" s="178" t="s">
        <v>376</v>
      </c>
      <c r="K264" s="132"/>
      <c r="L264" s="132"/>
    </row>
    <row r="265" spans="3:12">
      <c r="C265" s="132">
        <v>16</v>
      </c>
      <c r="D265" s="132">
        <v>0.5</v>
      </c>
      <c r="E265" s="132">
        <v>0.85</v>
      </c>
      <c r="G265" s="132"/>
      <c r="H265" s="132"/>
      <c r="I265" s="132">
        <v>16</v>
      </c>
      <c r="J265" s="178" t="s">
        <v>376</v>
      </c>
      <c r="K265" s="132"/>
      <c r="L265" s="132"/>
    </row>
    <row r="266" spans="3:12">
      <c r="C266" s="133">
        <v>18</v>
      </c>
      <c r="D266" s="178" t="s">
        <v>376</v>
      </c>
      <c r="E266" s="178" t="s">
        <v>376</v>
      </c>
      <c r="G266" s="132"/>
      <c r="H266" s="132"/>
      <c r="I266" s="133">
        <v>18</v>
      </c>
      <c r="J266" s="178" t="s">
        <v>376</v>
      </c>
      <c r="K266" s="132"/>
      <c r="L266" s="132"/>
    </row>
    <row r="267" spans="3:12">
      <c r="C267" s="132">
        <v>20</v>
      </c>
      <c r="D267" s="132">
        <v>0.75</v>
      </c>
      <c r="E267" s="132">
        <v>1.25</v>
      </c>
      <c r="G267" s="132"/>
      <c r="H267" s="132"/>
      <c r="I267" s="132">
        <v>20</v>
      </c>
      <c r="J267" s="178" t="s">
        <v>376</v>
      </c>
      <c r="K267" s="132"/>
      <c r="L267" s="132"/>
    </row>
    <row r="268" spans="3:12">
      <c r="C268" s="133">
        <v>22</v>
      </c>
      <c r="D268" s="178" t="s">
        <v>376</v>
      </c>
      <c r="E268" s="178" t="s">
        <v>376</v>
      </c>
      <c r="G268" s="132"/>
      <c r="H268" s="132"/>
      <c r="I268" s="133">
        <v>22</v>
      </c>
      <c r="J268" s="178" t="s">
        <v>376</v>
      </c>
      <c r="K268" s="132"/>
      <c r="L268" s="132"/>
    </row>
    <row r="269" spans="3:12">
      <c r="C269" s="132">
        <v>25</v>
      </c>
      <c r="D269" s="178" t="s">
        <v>376</v>
      </c>
      <c r="E269" s="178" t="s">
        <v>376</v>
      </c>
      <c r="G269" s="132"/>
      <c r="H269" s="132"/>
      <c r="I269" s="132">
        <v>25</v>
      </c>
      <c r="J269" s="178" t="s">
        <v>376</v>
      </c>
      <c r="K269" s="132"/>
      <c r="L269" s="132"/>
    </row>
    <row r="270" spans="3:12">
      <c r="C270" s="133">
        <v>28</v>
      </c>
      <c r="D270" s="178" t="s">
        <v>376</v>
      </c>
      <c r="E270" s="178" t="s">
        <v>376</v>
      </c>
      <c r="G270" s="132"/>
      <c r="H270" s="132"/>
      <c r="I270" s="133">
        <v>28</v>
      </c>
      <c r="J270" s="178" t="s">
        <v>376</v>
      </c>
      <c r="K270" s="132"/>
      <c r="L270" s="132"/>
    </row>
    <row r="271" spans="3:12">
      <c r="C271" s="132">
        <v>32</v>
      </c>
      <c r="D271" s="178" t="s">
        <v>376</v>
      </c>
      <c r="E271" s="178" t="s">
        <v>376</v>
      </c>
      <c r="G271" s="132"/>
      <c r="H271" s="132"/>
      <c r="I271" s="132">
        <v>32</v>
      </c>
      <c r="J271" s="178" t="s">
        <v>376</v>
      </c>
      <c r="K271" s="132"/>
      <c r="L271" s="132"/>
    </row>
    <row r="272" spans="3:12">
      <c r="C272" s="133">
        <v>36</v>
      </c>
      <c r="D272" s="178" t="s">
        <v>376</v>
      </c>
      <c r="E272" s="178" t="s">
        <v>376</v>
      </c>
      <c r="G272" s="132"/>
      <c r="H272" s="132"/>
      <c r="I272" s="133">
        <v>36</v>
      </c>
      <c r="J272" s="178" t="s">
        <v>376</v>
      </c>
      <c r="K272" s="132"/>
      <c r="L272" s="132"/>
    </row>
    <row r="273" spans="3:12">
      <c r="C273" s="132">
        <v>40</v>
      </c>
      <c r="D273" s="178" t="s">
        <v>376</v>
      </c>
      <c r="E273" s="178" t="s">
        <v>376</v>
      </c>
      <c r="G273" s="132"/>
      <c r="H273" s="132"/>
      <c r="I273" s="132">
        <v>40</v>
      </c>
      <c r="J273" s="178" t="s">
        <v>376</v>
      </c>
      <c r="K273" s="132"/>
      <c r="L273" s="132"/>
    </row>
    <row r="274" spans="3:12">
      <c r="C274" s="133">
        <v>45</v>
      </c>
      <c r="D274" s="178" t="s">
        <v>376</v>
      </c>
      <c r="E274" s="178" t="s">
        <v>376</v>
      </c>
      <c r="G274" s="132"/>
      <c r="H274" s="132"/>
      <c r="I274" s="133">
        <v>45</v>
      </c>
      <c r="J274" s="178" t="s">
        <v>376</v>
      </c>
      <c r="K274" s="132"/>
      <c r="L274" s="132"/>
    </row>
    <row r="275" spans="3:12">
      <c r="C275" s="132">
        <v>50</v>
      </c>
      <c r="D275" s="178" t="s">
        <v>376</v>
      </c>
      <c r="E275" s="178" t="s">
        <v>376</v>
      </c>
      <c r="G275" s="132"/>
      <c r="H275" s="132"/>
      <c r="I275" s="132">
        <v>50</v>
      </c>
      <c r="J275" s="178" t="s">
        <v>376</v>
      </c>
      <c r="K275" s="132"/>
      <c r="L275" s="132"/>
    </row>
    <row r="276" spans="3:12">
      <c r="C276" s="132"/>
      <c r="D276" s="132"/>
      <c r="E276" s="132"/>
      <c r="G276" s="132"/>
      <c r="H276" s="132"/>
      <c r="I276" s="133"/>
      <c r="J276" s="132"/>
      <c r="K276" s="132"/>
      <c r="L276" s="132"/>
    </row>
    <row r="277" spans="3:12">
      <c r="C277" s="132"/>
      <c r="D277" s="132" t="str">
        <f>LOOKUP(E11,C241:C275,D241:D275)</f>
        <v>NA</v>
      </c>
      <c r="E277" s="132" t="str">
        <f>LOOKUP(E11,C241:C275,E241:E275)</f>
        <v>NA</v>
      </c>
      <c r="F277" s="132"/>
      <c r="G277" s="132"/>
      <c r="H277" s="133"/>
      <c r="I277" s="133"/>
      <c r="J277" s="132">
        <f>LOOKUP(E11,I241:I275,J241:J275)</f>
        <v>0.22</v>
      </c>
      <c r="K277" s="132"/>
      <c r="L277" s="132"/>
    </row>
    <row r="279" spans="3:12">
      <c r="C279" s="132"/>
      <c r="D279" s="132" t="s">
        <v>312</v>
      </c>
      <c r="E279" s="132"/>
      <c r="F279" s="132" t="str">
        <f>IF(E50="upto 8 m/s", CONCATENATE(D277," min.                                   ",E277," max."),J277)</f>
        <v>NA min.                                   NA max.</v>
      </c>
      <c r="G279" s="132"/>
    </row>
    <row r="280" spans="3:12">
      <c r="C280" s="132"/>
    </row>
    <row r="281" spans="3:12">
      <c r="D281" s="132"/>
      <c r="E281" s="132"/>
      <c r="F281" s="132"/>
      <c r="G281" s="132"/>
      <c r="H281" s="133"/>
      <c r="I281" s="133"/>
      <c r="J281" s="132"/>
      <c r="K281" s="132"/>
      <c r="L281" s="132"/>
    </row>
    <row r="282" spans="3:12">
      <c r="D282" s="132"/>
      <c r="E282" s="132"/>
      <c r="F282" s="132"/>
      <c r="G282" s="132"/>
      <c r="H282" s="133"/>
      <c r="I282" s="133"/>
      <c r="J282" s="132"/>
      <c r="K282" s="132"/>
      <c r="L282" s="132"/>
    </row>
    <row r="283" spans="3:12">
      <c r="H283" s="133"/>
      <c r="I283" s="133"/>
      <c r="J283" s="132"/>
      <c r="K283" s="132"/>
      <c r="L283" s="132"/>
    </row>
  </sheetData>
  <sheetProtection selectLockedCells="1"/>
  <mergeCells count="49">
    <mergeCell ref="E16:F16"/>
    <mergeCell ref="E17:F17"/>
    <mergeCell ref="E18:F18"/>
    <mergeCell ref="E6:F6"/>
    <mergeCell ref="B1:F1"/>
    <mergeCell ref="E2:F2"/>
    <mergeCell ref="B3:D3"/>
    <mergeCell ref="E3:F3"/>
    <mergeCell ref="E5:F5"/>
    <mergeCell ref="E9:F9"/>
    <mergeCell ref="E10:F10"/>
    <mergeCell ref="E11:F11"/>
    <mergeCell ref="E14:F14"/>
    <mergeCell ref="E15:F15"/>
    <mergeCell ref="H19:K19"/>
    <mergeCell ref="E21:F21"/>
    <mergeCell ref="E22:F22"/>
    <mergeCell ref="E26:F26"/>
    <mergeCell ref="E27:F27"/>
    <mergeCell ref="E25:F25"/>
    <mergeCell ref="E29:F29"/>
    <mergeCell ref="B30:B32"/>
    <mergeCell ref="C30:C32"/>
    <mergeCell ref="D30:D32"/>
    <mergeCell ref="B57:F57"/>
    <mergeCell ref="E33:F33"/>
    <mergeCell ref="E35:F35"/>
    <mergeCell ref="B46:B47"/>
    <mergeCell ref="C46:C47"/>
    <mergeCell ref="E50:F50"/>
    <mergeCell ref="E51:F51"/>
    <mergeCell ref="N36:N37"/>
    <mergeCell ref="O36:O37"/>
    <mergeCell ref="B37:B39"/>
    <mergeCell ref="E44:F44"/>
    <mergeCell ref="E45:F45"/>
    <mergeCell ref="B78:B79"/>
    <mergeCell ref="C78:C79"/>
    <mergeCell ref="B58:F58"/>
    <mergeCell ref="E60:F60"/>
    <mergeCell ref="E61:F61"/>
    <mergeCell ref="E64:F64"/>
    <mergeCell ref="E65:F65"/>
    <mergeCell ref="E66:F66"/>
    <mergeCell ref="E82:F82"/>
    <mergeCell ref="E68:F68"/>
    <mergeCell ref="E70:F70"/>
    <mergeCell ref="E76:F76"/>
    <mergeCell ref="E77:F77"/>
  </mergeCells>
  <conditionalFormatting sqref="D105 E15:F15">
    <cfRule type="expression" dxfId="6" priority="7">
      <formula>$G$120</formula>
    </cfRule>
  </conditionalFormatting>
  <conditionalFormatting sqref="E40">
    <cfRule type="expression" dxfId="5" priority="6">
      <formula>$G$125</formula>
    </cfRule>
  </conditionalFormatting>
  <conditionalFormatting sqref="F40">
    <cfRule type="expression" dxfId="4" priority="5">
      <formula>$G$126</formula>
    </cfRule>
  </conditionalFormatting>
  <conditionalFormatting sqref="F13">
    <cfRule type="expression" dxfId="3" priority="4">
      <formula>$G$122</formula>
    </cfRule>
  </conditionalFormatting>
  <conditionalFormatting sqref="E13">
    <cfRule type="expression" dxfId="2" priority="3">
      <formula>$G$121</formula>
    </cfRule>
  </conditionalFormatting>
  <conditionalFormatting sqref="E24:F25 E7:F7">
    <cfRule type="expression" dxfId="1" priority="2">
      <formula>$E$96</formula>
    </cfRule>
  </conditionalFormatting>
  <conditionalFormatting sqref="B70:F71">
    <cfRule type="expression" dxfId="0" priority="1">
      <formula>$F$144</formula>
    </cfRule>
  </conditionalFormatting>
  <dataValidations count="5">
    <dataValidation type="list" allowBlank="1" showInputMessage="1" showErrorMessage="1" sqref="E50:F50">
      <formula1>$I$90:$I$91</formula1>
    </dataValidation>
    <dataValidation type="list" allowBlank="1" showInputMessage="1" showErrorMessage="1" sqref="E5">
      <formula1>$F$148:$F$149</formula1>
    </dataValidation>
    <dataValidation type="list" allowBlank="1" showInputMessage="1" showErrorMessage="1" sqref="E6:F6">
      <formula1>$C$148:$C$149</formula1>
    </dataValidation>
    <dataValidation type="list" allowBlank="1" showInputMessage="1" showErrorMessage="1" sqref="E7">
      <formula1>$D$148:$D$150</formula1>
    </dataValidation>
    <dataValidation type="list" allowBlank="1" showInputMessage="1" showErrorMessage="1" sqref="C39">
      <formula1>$C$37:$C$38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170"/>
  <sheetViews>
    <sheetView zoomScale="85" zoomScaleNormal="85" workbookViewId="0">
      <pane ySplit="5" topLeftCell="A6" activePane="bottomLeft" state="frozen"/>
      <selection pane="bottomLeft" sqref="A1:XFD1048576"/>
    </sheetView>
  </sheetViews>
  <sheetFormatPr defaultRowHeight="15"/>
  <sheetData>
    <row r="1" spans="1:17">
      <c r="B1" t="str">
        <f>Datasheet!F10</f>
        <v>STEP 1</v>
      </c>
      <c r="C1" t="str">
        <f>Datasheet!G10</f>
        <v>STEP 2</v>
      </c>
      <c r="D1" t="str">
        <f>Datasheet!H10</f>
        <v>STEP 3</v>
      </c>
      <c r="E1" t="str">
        <f>Datasheet!I10</f>
        <v>STEP 4</v>
      </c>
      <c r="F1" t="str">
        <f>Datasheet!J10</f>
        <v>STEP 5</v>
      </c>
      <c r="G1" t="str">
        <f>Datasheet!K10</f>
        <v>STEP 6</v>
      </c>
      <c r="H1" t="str">
        <f>Datasheet!L10</f>
        <v>STEP 7</v>
      </c>
      <c r="I1" t="str">
        <f>Datasheet!M10</f>
        <v>STEP 8</v>
      </c>
      <c r="J1" t="str">
        <f>Datasheet!N10</f>
        <v>STEP 9</v>
      </c>
      <c r="K1" t="str">
        <f>Datasheet!O10</f>
        <v>STEP 10</v>
      </c>
      <c r="L1" t="str">
        <f>Datasheet!P10</f>
        <v>STEP 11</v>
      </c>
      <c r="M1" t="str">
        <f>Datasheet!Q10</f>
        <v>STEP 12</v>
      </c>
      <c r="N1" t="str">
        <f>Datasheet!Q10</f>
        <v>STEP 12</v>
      </c>
      <c r="O1" t="str">
        <f>Datasheet!S10</f>
        <v>STEP 14</v>
      </c>
      <c r="P1" t="str">
        <f>Datasheet!T10</f>
        <v>STEP 15</v>
      </c>
      <c r="Q1" t="str">
        <f>Datasheet!U10</f>
        <v>STEP 16</v>
      </c>
    </row>
    <row r="2" spans="1:17">
      <c r="A2" t="s">
        <v>24</v>
      </c>
      <c r="B2">
        <f>Datasheet!F12</f>
        <v>110</v>
      </c>
      <c r="C2">
        <f>Datasheet!G12</f>
        <v>130</v>
      </c>
      <c r="D2">
        <f>Datasheet!H12</f>
        <v>160</v>
      </c>
      <c r="E2">
        <f>Datasheet!I12</f>
        <v>180</v>
      </c>
      <c r="F2">
        <f>Datasheet!J12</f>
        <v>160</v>
      </c>
      <c r="G2">
        <f>Datasheet!K12</f>
        <v>100</v>
      </c>
      <c r="H2">
        <f>Datasheet!L12</f>
        <v>80</v>
      </c>
      <c r="I2">
        <f>Datasheet!M12</f>
        <v>60</v>
      </c>
      <c r="J2">
        <f>Datasheet!N12</f>
        <v>40</v>
      </c>
      <c r="K2">
        <f>Datasheet!O12</f>
        <v>60</v>
      </c>
      <c r="L2">
        <f>Datasheet!P12</f>
        <v>30</v>
      </c>
      <c r="M2">
        <f>Datasheet!Q12</f>
        <v>0</v>
      </c>
      <c r="N2">
        <f>Datasheet!Q12</f>
        <v>0</v>
      </c>
      <c r="O2">
        <f>Datasheet!S12</f>
        <v>0</v>
      </c>
      <c r="P2">
        <f>Datasheet!T12</f>
        <v>0</v>
      </c>
      <c r="Q2">
        <f>Datasheet!U12</f>
        <v>0</v>
      </c>
    </row>
    <row r="3" spans="1:17">
      <c r="A3" t="s">
        <v>12</v>
      </c>
      <c r="B3" s="104" t="str">
        <f>Datasheet!F14</f>
        <v>k6</v>
      </c>
      <c r="C3" s="104" t="str">
        <f>Datasheet!G14</f>
        <v>h9</v>
      </c>
      <c r="D3" s="104">
        <f>Datasheet!H14</f>
        <v>0</v>
      </c>
      <c r="E3" s="104" t="str">
        <f>Datasheet!I14</f>
        <v>f6</v>
      </c>
      <c r="F3" s="104">
        <f>Datasheet!J14</f>
        <v>0</v>
      </c>
      <c r="G3" s="104">
        <f>Datasheet!K14</f>
        <v>0</v>
      </c>
      <c r="H3" s="104" t="str">
        <f>Datasheet!L14</f>
        <v>m6</v>
      </c>
      <c r="I3" s="104" t="str">
        <f>Datasheet!M14</f>
        <v>k6</v>
      </c>
      <c r="J3" s="104">
        <f>Datasheet!N14</f>
        <v>0</v>
      </c>
      <c r="K3" s="104">
        <f>Datasheet!O14</f>
        <v>0</v>
      </c>
      <c r="L3" s="104">
        <f>Datasheet!P14</f>
        <v>0</v>
      </c>
      <c r="M3" s="104">
        <f>Datasheet!Q14</f>
        <v>0</v>
      </c>
      <c r="N3" s="104">
        <f>Datasheet!Q14</f>
        <v>0</v>
      </c>
      <c r="O3" s="104">
        <f>Datasheet!S14</f>
        <v>0</v>
      </c>
      <c r="P3" s="104">
        <f>Datasheet!T14</f>
        <v>0</v>
      </c>
      <c r="Q3" s="104">
        <f>Datasheet!U14</f>
        <v>0</v>
      </c>
    </row>
    <row r="4" spans="1:17">
      <c r="A4" s="98" t="s">
        <v>355</v>
      </c>
      <c r="B4">
        <f ca="1">VLOOKUP(B3,$A$8:B44,2,0)</f>
        <v>25</v>
      </c>
      <c r="C4">
        <f ca="1">VLOOKUP(C3,$A$8:C44,3,0)</f>
        <v>0</v>
      </c>
      <c r="D4" t="e">
        <f>VLOOKUP(D3,$A$8:D44,4,0)</f>
        <v>#N/A</v>
      </c>
      <c r="E4">
        <f ca="1">VLOOKUP(E3,$A$8:E44,5,0)</f>
        <v>-43</v>
      </c>
      <c r="F4" t="e">
        <f>VLOOKUP(F3,$A$8:F44,6,0)</f>
        <v>#N/A</v>
      </c>
      <c r="G4" t="e">
        <f>VLOOKUP(G3,$A$8:G44,7,0)</f>
        <v>#N/A</v>
      </c>
      <c r="H4">
        <f ca="1">VLOOKUP(H3,$A$8:H44,8,0)</f>
        <v>30</v>
      </c>
      <c r="I4">
        <f ca="1">VLOOKUP(I3,$A$8:I44,9,0)</f>
        <v>21</v>
      </c>
      <c r="J4" t="e">
        <f>VLOOKUP(J3,$A$8:J44,10,0)</f>
        <v>#N/A</v>
      </c>
      <c r="K4" t="e">
        <f>VLOOKUP(K3,$A$8:K44,11,0)</f>
        <v>#N/A</v>
      </c>
      <c r="L4" t="e">
        <f>VLOOKUP(L3,$A$8:L44,12,0)</f>
        <v>#N/A</v>
      </c>
      <c r="M4" t="e">
        <f>VLOOKUP(M3,$A$8:M44,13,0)</f>
        <v>#N/A</v>
      </c>
      <c r="N4" t="e">
        <f>VLOOKUP(N3,$A$8:N44,14,0)</f>
        <v>#N/A</v>
      </c>
      <c r="O4" t="e">
        <f>VLOOKUP(O3,$A$8:O44,15,0)</f>
        <v>#N/A</v>
      </c>
      <c r="P4" t="e">
        <f>VLOOKUP(P3,$A$8:P44,16,0)</f>
        <v>#N/A</v>
      </c>
      <c r="Q4" t="e">
        <f>VLOOKUP(Q3,$A$8:Q44,17,0)</f>
        <v>#N/A</v>
      </c>
    </row>
    <row r="5" spans="1:17">
      <c r="A5" s="98" t="s">
        <v>354</v>
      </c>
      <c r="B5">
        <f ca="1">VLOOKUP(B3,$A$49:B85,2,0)</f>
        <v>3</v>
      </c>
      <c r="C5">
        <f ca="1">VLOOKUP(C3,$A$49:C85,3,0)</f>
        <v>-100</v>
      </c>
      <c r="D5" t="e">
        <f>VLOOKUP(D3,$A$49:D85,4,0)</f>
        <v>#N/A</v>
      </c>
      <c r="E5">
        <f ca="1">VLOOKUP(E3,$A$49:E85,5,0)</f>
        <v>-68</v>
      </c>
      <c r="F5" t="e">
        <f>VLOOKUP(F3,$A$49:F85,6,0)</f>
        <v>#N/A</v>
      </c>
      <c r="G5" t="e">
        <f>VLOOKUP(G3,$A$49:G85,7,0)</f>
        <v>#N/A</v>
      </c>
      <c r="H5">
        <f ca="1">VLOOKUP(H3,$A$49:H85,8,0)</f>
        <v>11</v>
      </c>
      <c r="I5">
        <f ca="1">VLOOKUP(I3,$A$49:I85,9,0)</f>
        <v>2</v>
      </c>
      <c r="J5" t="e">
        <f>VLOOKUP(J3,$A$49:J85,10,0)</f>
        <v>#N/A</v>
      </c>
      <c r="K5" t="e">
        <f>VLOOKUP(K3,$A$49:K85,11,0)</f>
        <v>#N/A</v>
      </c>
      <c r="L5" t="e">
        <f>VLOOKUP(L3,$A$49:L85,12,0)</f>
        <v>#N/A</v>
      </c>
      <c r="M5" t="e">
        <f>VLOOKUP(M3,$A$49:M85,13,0)</f>
        <v>#N/A</v>
      </c>
      <c r="N5" t="e">
        <f>VLOOKUP(N3,$A$49:N85,14,0)</f>
        <v>#N/A</v>
      </c>
      <c r="O5" t="e">
        <f>VLOOKUP(O3,$A$49:O85,15,0)</f>
        <v>#N/A</v>
      </c>
      <c r="P5" t="e">
        <f>VLOOKUP(P3,$A$49:P85,16,0)</f>
        <v>#N/A</v>
      </c>
      <c r="Q5" t="e">
        <f>VLOOKUP(Q3,$A$49:Q85,17,0)</f>
        <v>#N/A</v>
      </c>
    </row>
    <row r="6" spans="1:17"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</row>
    <row r="7" spans="1:17">
      <c r="B7" s="104"/>
      <c r="C7" s="104"/>
      <c r="D7" s="104"/>
      <c r="E7" s="104"/>
      <c r="F7" s="154" t="s">
        <v>356</v>
      </c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</row>
    <row r="8" spans="1:17">
      <c r="A8" s="152" t="str">
        <f>B97</f>
        <v>a12</v>
      </c>
      <c r="B8">
        <f ca="1">LOOKUP(B2,C94:V95,C97:V97)</f>
        <v>-410</v>
      </c>
      <c r="C8">
        <f ca="1">LOOKUP(C2,C94:V95,C97:V97)</f>
        <v>-460</v>
      </c>
      <c r="D8">
        <f ca="1">LOOKUP(D2,C94:V95,C97:V97)</f>
        <v>-520</v>
      </c>
      <c r="E8">
        <f ca="1">LOOKUP(E2,C94:V95,C97:V97)</f>
        <v>-580</v>
      </c>
      <c r="F8">
        <f ca="1">LOOKUP(F2,C94:V95,C97:V97)</f>
        <v>-520</v>
      </c>
      <c r="G8">
        <f ca="1">LOOKUP(G2,C94:V95,C97:V97)</f>
        <v>-380</v>
      </c>
      <c r="H8">
        <f ca="1">LOOKUP(H2,C94:V95,C97:V97)</f>
        <v>-360</v>
      </c>
      <c r="I8">
        <f ca="1">LOOKUP(I2,C94:V95,C97:V97)</f>
        <v>-340</v>
      </c>
      <c r="J8">
        <f ca="1">LOOKUP(J2,C94:V95,C97:V97)</f>
        <v>-310</v>
      </c>
      <c r="K8">
        <f ca="1">LOOKUP(K2,C94:V95,C97:V97)</f>
        <v>-340</v>
      </c>
      <c r="L8">
        <f ca="1">LOOKUP(L2,C94:V95,C97:V97)</f>
        <v>-300</v>
      </c>
      <c r="M8" t="e">
        <f>LOOKUP(M2,C94:V95,C97:V97)</f>
        <v>#N/A</v>
      </c>
      <c r="N8" t="e">
        <f>LOOKUP(N2,C94:V95,C97:V97)</f>
        <v>#N/A</v>
      </c>
      <c r="O8" t="e">
        <f>LOOKUP(O2,C94:V95,C97:V97)</f>
        <v>#N/A</v>
      </c>
      <c r="P8" t="e">
        <f>LOOKUP(P2,C94:V95,C97:V97)</f>
        <v>#N/A</v>
      </c>
      <c r="Q8" t="e">
        <f>LOOKUP(Q2,C94:V95,C97:V97)</f>
        <v>#N/A</v>
      </c>
    </row>
    <row r="9" spans="1:17">
      <c r="A9" s="153" t="str">
        <f>B99</f>
        <v>d6</v>
      </c>
      <c r="B9">
        <f ca="1">LOOKUP(B2,C94:V95,C99:V99)</f>
        <v>-120</v>
      </c>
      <c r="C9">
        <f ca="1">LOOKUP(C2,C94:V95,C99:V99)</f>
        <v>-145</v>
      </c>
      <c r="D9">
        <f ca="1">LOOKUP(D2,C94:V95,C99:V99)</f>
        <v>-145</v>
      </c>
      <c r="E9">
        <f ca="1">LOOKUP(E2,C94:V95,C99:V99)</f>
        <v>-145</v>
      </c>
      <c r="F9">
        <f ca="1">LOOKUP(F2,C94:V95,C99:V99)</f>
        <v>-145</v>
      </c>
      <c r="G9">
        <f ca="1">LOOKUP(G2,C94:V95,C99:V99)</f>
        <v>-120</v>
      </c>
      <c r="H9">
        <f ca="1">LOOKUP(H2,C94:V95,C99:V99)</f>
        <v>-100</v>
      </c>
      <c r="I9">
        <f ca="1">LOOKUP(I2,C94:V95,C99:V99)</f>
        <v>-100</v>
      </c>
      <c r="J9">
        <f ca="1">LOOKUP(J2,C94:V95,C99:V99)</f>
        <v>-80</v>
      </c>
      <c r="K9">
        <f ca="1">LOOKUP(K2,C94:V95,C99:V99)</f>
        <v>-100</v>
      </c>
      <c r="L9">
        <f ca="1">LOOKUP(L2,C94:V95,C99:V99)</f>
        <v>-65</v>
      </c>
      <c r="M9" t="e">
        <f>LOOKUP(M2,C94:V95,C99:V99)</f>
        <v>#N/A</v>
      </c>
      <c r="N9" t="e">
        <f>LOOKUP(N2,C94:V95,C99:V99)</f>
        <v>#N/A</v>
      </c>
      <c r="O9" t="e">
        <f>LOOKUP(O2,C94:V95,C99:V99)</f>
        <v>#N/A</v>
      </c>
      <c r="P9" t="e">
        <f>LOOKUP(P2,C94:V95,C99:V99)</f>
        <v>#N/A</v>
      </c>
      <c r="Q9" t="e">
        <f>LOOKUP(Q2,C94:V95,C99:V99)</f>
        <v>#N/A</v>
      </c>
    </row>
    <row r="10" spans="1:17">
      <c r="A10" s="152" t="str">
        <f>B101</f>
        <v>e6</v>
      </c>
      <c r="B10">
        <f ca="1">LOOKUP(B2,C94:V95,C101:V101)</f>
        <v>-72</v>
      </c>
      <c r="C10">
        <f ca="1">LOOKUP(C2,C94:V95,C101:V101)</f>
        <v>-85</v>
      </c>
      <c r="D10">
        <f ca="1">LOOKUP(D2,C94:V95,C101:V101)</f>
        <v>-85</v>
      </c>
      <c r="E10">
        <f ca="1">LOOKUP(E2,C94:V95,C101:V101)</f>
        <v>-85</v>
      </c>
      <c r="F10">
        <f ca="1">LOOKUP(F2,C94:V95,C101:V101)</f>
        <v>-85</v>
      </c>
      <c r="G10">
        <f ca="1">LOOKUP(G2,C94:V95,C101:V101)</f>
        <v>-72</v>
      </c>
      <c r="H10">
        <f ca="1">LOOKUP(H2,C94:V95,C101:V101)</f>
        <v>-60</v>
      </c>
      <c r="I10">
        <f ca="1">LOOKUP(I2,C94:V95,C101:V101)</f>
        <v>-60</v>
      </c>
      <c r="J10">
        <f ca="1">LOOKUP(J2,C94:V95,C101:V101)</f>
        <v>-50</v>
      </c>
      <c r="K10">
        <f ca="1">LOOKUP(K2,C94:V95,C101:V101)</f>
        <v>-60</v>
      </c>
      <c r="L10">
        <f ca="1">LOOKUP(L2,C94:V95,C101:V101)</f>
        <v>-40</v>
      </c>
      <c r="M10" t="e">
        <f>LOOKUP(M2,C94:V95,C101:V101)</f>
        <v>#N/A</v>
      </c>
      <c r="N10" t="e">
        <f>LOOKUP(N2,C94:V95,C101:V101)</f>
        <v>#N/A</v>
      </c>
      <c r="O10" t="e">
        <f>LOOKUP(O2,C94:V95,C101:V101)</f>
        <v>#N/A</v>
      </c>
      <c r="P10" t="e">
        <f>LOOKUP(P2,C94:V95,C101:V101)</f>
        <v>#N/A</v>
      </c>
      <c r="Q10" t="e">
        <f>LOOKUP(Q2,C94:V95,C101:V101)</f>
        <v>#N/A</v>
      </c>
    </row>
    <row r="11" spans="1:17">
      <c r="A11" s="152" t="str">
        <f>B103</f>
        <v>e13</v>
      </c>
      <c r="B11">
        <f ca="1">LOOKUP(B2,C94:V95,C103:V103)</f>
        <v>-72</v>
      </c>
      <c r="C11">
        <f ca="1">LOOKUP(C2,C94:V95,C103:V103)</f>
        <v>-85</v>
      </c>
      <c r="D11">
        <f ca="1">LOOKUP(D2,C94:V95,C103:V103)</f>
        <v>-85</v>
      </c>
      <c r="E11">
        <f ca="1">LOOKUP(E2,C94:V95,C103:V103)</f>
        <v>-85</v>
      </c>
      <c r="F11">
        <f ca="1">LOOKUP(F2,C94:V95,C103:V103)</f>
        <v>-85</v>
      </c>
      <c r="G11">
        <f ca="1">LOOKUP(G2,C94:V95,C103:V103)</f>
        <v>-72</v>
      </c>
      <c r="H11">
        <f ca="1">LOOKUP(H2,C94:V95,C103:V103)</f>
        <v>-60</v>
      </c>
      <c r="I11">
        <f ca="1">LOOKUP(I2,C94:V95,C103:V103)</f>
        <v>-60</v>
      </c>
      <c r="J11">
        <f ca="1">LOOKUP(J2,C94:V95,C103:V103)</f>
        <v>-50</v>
      </c>
      <c r="K11">
        <f ca="1">LOOKUP(K2,C94:V95,C103:V103)</f>
        <v>-60</v>
      </c>
      <c r="L11">
        <f ca="1">LOOKUP(L2,C94:V95,C103:V103)</f>
        <v>-40</v>
      </c>
      <c r="M11" t="e">
        <f>LOOKUP(M2,C94:V95,C103:V103)</f>
        <v>#N/A</v>
      </c>
      <c r="N11" t="e">
        <f>LOOKUP(N2,C94:V95,C103:V103)</f>
        <v>#N/A</v>
      </c>
      <c r="O11" t="e">
        <f>LOOKUP(O2,C94:V95,C103:V103)</f>
        <v>#N/A</v>
      </c>
      <c r="P11" t="e">
        <f>LOOKUP(P2,C94:V95,C103:V103)</f>
        <v>#N/A</v>
      </c>
      <c r="Q11" t="e">
        <f>LOOKUP(Q2,C94:V95,C103:V103)</f>
        <v>#N/A</v>
      </c>
    </row>
    <row r="12" spans="1:17">
      <c r="A12" s="152" t="str">
        <f>B105</f>
        <v>f5</v>
      </c>
      <c r="B12">
        <f ca="1">LOOKUP(B2,C94:V95,C105:V105)</f>
        <v>-36</v>
      </c>
      <c r="C12">
        <f ca="1">LOOKUP(C2,C94:V95,C105:V105)</f>
        <v>-43</v>
      </c>
      <c r="D12">
        <f ca="1">LOOKUP(D2,C94:V95,C105:V105)</f>
        <v>-43</v>
      </c>
      <c r="E12">
        <f ca="1">LOOKUP(E2,C94:V95,C105:V105)</f>
        <v>-43</v>
      </c>
      <c r="F12">
        <f ca="1">LOOKUP(F2,C94:V95,C105:V105)</f>
        <v>-43</v>
      </c>
      <c r="G12">
        <f ca="1">LOOKUP(G2,C94:V95,C105:V105)</f>
        <v>-36</v>
      </c>
      <c r="H12">
        <f ca="1">LOOKUP(H2,C94:V95,C105:V105)</f>
        <v>-30</v>
      </c>
      <c r="I12">
        <f ca="1">LOOKUP(I2,C94:V95,C105:V105)</f>
        <v>-30</v>
      </c>
      <c r="J12">
        <f ca="1">LOOKUP(J2,C94:V95,C105:V105)</f>
        <v>-25</v>
      </c>
      <c r="K12">
        <f ca="1">LOOKUP(K2,C94:V95,C105:V105)</f>
        <v>-30</v>
      </c>
      <c r="L12">
        <f ca="1">LOOKUP(L2,C94:V95,C105:V105)</f>
        <v>-20</v>
      </c>
      <c r="M12" t="e">
        <f>LOOKUP(M2,C94:V95,C105:V105)</f>
        <v>#N/A</v>
      </c>
      <c r="N12" t="e">
        <f>LOOKUP(N2,C94:V95,C105:V105)</f>
        <v>#N/A</v>
      </c>
      <c r="O12" t="e">
        <f>LOOKUP(O2,C94:V95,C105:V105)</f>
        <v>#N/A</v>
      </c>
      <c r="P12" t="e">
        <f>LOOKUP(P2,C94:V95,C105:V105)</f>
        <v>#N/A</v>
      </c>
      <c r="Q12" t="e">
        <f>LOOKUP(Q2,C94:V95,C105:V105)</f>
        <v>#N/A</v>
      </c>
    </row>
    <row r="13" spans="1:17">
      <c r="A13" s="152" t="str">
        <f>B107</f>
        <v>f6</v>
      </c>
      <c r="B13">
        <f ca="1">LOOKUP(B2,C94:V95,C107:V107)</f>
        <v>-36</v>
      </c>
      <c r="C13">
        <f ca="1">LOOKUP(C2,C94:V95,C107:V107)</f>
        <v>-43</v>
      </c>
      <c r="D13">
        <f ca="1">LOOKUP(D2,C94:V95,C107:V107)</f>
        <v>-43</v>
      </c>
      <c r="E13">
        <f ca="1">LOOKUP(E2,C94:V95,C107:V107)</f>
        <v>-43</v>
      </c>
      <c r="F13">
        <f ca="1">LOOKUP(F2,C94:V95,C107:V107)</f>
        <v>-43</v>
      </c>
      <c r="G13">
        <f ca="1">LOOKUP(G2,C94:V95,C107:V107)</f>
        <v>-36</v>
      </c>
      <c r="H13">
        <f ca="1">LOOKUP(H2,C94:V95,C107:V107)</f>
        <v>-30</v>
      </c>
      <c r="I13">
        <f ca="1">LOOKUP(I2,C94:V95,C107:V107)</f>
        <v>-30</v>
      </c>
      <c r="J13">
        <f ca="1">LOOKUP(J2,C94:V95,C107:V107)</f>
        <v>-25</v>
      </c>
      <c r="K13">
        <f ca="1">LOOKUP(K2,C94:V95,C107:V107)</f>
        <v>-30</v>
      </c>
      <c r="L13">
        <f ca="1">LOOKUP(L2,C94:V95,C107:V107)</f>
        <v>-20</v>
      </c>
      <c r="M13" t="e">
        <f>LOOKUP(M2,C94:V95,C107:V107)</f>
        <v>#N/A</v>
      </c>
      <c r="N13" t="e">
        <f>LOOKUP(N2,C94:V95,C107:V107)</f>
        <v>#N/A</v>
      </c>
      <c r="O13" t="e">
        <f>LOOKUP(O2,C94:V95,C107:V107)</f>
        <v>#N/A</v>
      </c>
      <c r="P13" t="e">
        <f>LOOKUP(P2,C94:V95,C107:V107)</f>
        <v>#N/A</v>
      </c>
      <c r="Q13" t="e">
        <f>LOOKUP(Q2,C94:V95,C107:V107)</f>
        <v>#N/A</v>
      </c>
    </row>
    <row r="14" spans="1:17">
      <c r="A14" s="152" t="str">
        <f>B109</f>
        <v>f7</v>
      </c>
      <c r="B14">
        <f ca="1">LOOKUP(B2,C94:V95,C109:V109)</f>
        <v>-36</v>
      </c>
      <c r="C14">
        <f ca="1">LOOKUP(C2,C94:V95,C109:V109)</f>
        <v>-43</v>
      </c>
      <c r="D14">
        <f ca="1">LOOKUP(D2,C94:V95,C109:V109)</f>
        <v>-43</v>
      </c>
      <c r="E14">
        <f ca="1">LOOKUP(E2,C94:V95,C109:V109)</f>
        <v>-43</v>
      </c>
      <c r="F14">
        <f ca="1">LOOKUP(F2,C94:V95,C109:V109)</f>
        <v>-43</v>
      </c>
      <c r="G14">
        <f ca="1">LOOKUP(G2,C94:V95,C109:V109)</f>
        <v>-36</v>
      </c>
      <c r="H14">
        <f ca="1">LOOKUP(H2,C94:V95,C109:V109)</f>
        <v>-30</v>
      </c>
      <c r="I14">
        <f ca="1">LOOKUP(I2,C94:V95,C109:V109)</f>
        <v>-30</v>
      </c>
      <c r="J14">
        <f ca="1">LOOKUP(J2,C94:V95,C109:V109)</f>
        <v>-25</v>
      </c>
      <c r="K14">
        <f ca="1">LOOKUP(K2,C94:V95,C109:V109)</f>
        <v>-30</v>
      </c>
      <c r="L14">
        <f ca="1">LOOKUP(L2,C94:V95,C109:V109)</f>
        <v>-20</v>
      </c>
      <c r="M14" t="e">
        <f>LOOKUP(M2,C94:V95,C109:V109)</f>
        <v>#N/A</v>
      </c>
      <c r="N14" t="e">
        <f>LOOKUP(N2,C94:V95,C109:V109)</f>
        <v>#N/A</v>
      </c>
      <c r="O14" t="e">
        <f>LOOKUP(O2,C94:V95,C109:V109)</f>
        <v>#N/A</v>
      </c>
      <c r="P14" t="e">
        <f>LOOKUP(P2,C94:V95,C109:V109)</f>
        <v>#N/A</v>
      </c>
      <c r="Q14" t="e">
        <f>LOOKUP(Q2,C94:V95,C109:V109)</f>
        <v>#N/A</v>
      </c>
    </row>
    <row r="15" spans="1:17">
      <c r="A15" s="152" t="str">
        <f>B111</f>
        <v>g5</v>
      </c>
      <c r="B15">
        <f ca="1">LOOKUP(B2,C94:V95,C111:V111)</f>
        <v>-12</v>
      </c>
      <c r="C15">
        <f ca="1">LOOKUP(C2,C94:V95,C111:V111)</f>
        <v>-14</v>
      </c>
      <c r="D15">
        <f ca="1">LOOKUP(D2,C94:V95,C111:V111)</f>
        <v>-14</v>
      </c>
      <c r="E15">
        <f ca="1">LOOKUP(E2,C94:V95,C111:V111)</f>
        <v>-14</v>
      </c>
      <c r="F15">
        <f ca="1">LOOKUP(F2,C94:V95,C111:V111)</f>
        <v>-14</v>
      </c>
      <c r="G15">
        <f ca="1">LOOKUP(G2,C94:V95,C111:V111)</f>
        <v>-12</v>
      </c>
      <c r="H15">
        <f ca="1">LOOKUP(H2,C94:V95,C111:V111)</f>
        <v>-10</v>
      </c>
      <c r="I15">
        <f ca="1">LOOKUP(I2,C94:V95,C111:V111)</f>
        <v>-10</v>
      </c>
      <c r="J15">
        <f ca="1">LOOKUP(J2,C94:V95,C111:V111)</f>
        <v>-9</v>
      </c>
      <c r="K15">
        <f ca="1">LOOKUP(K2,C94:V95,C111:V111)</f>
        <v>-10</v>
      </c>
      <c r="L15">
        <f ca="1">LOOKUP(L2,C94:V95,C111:V111)</f>
        <v>-7</v>
      </c>
      <c r="M15" t="e">
        <f>LOOKUP(M2,C94:V95,C111:V111)</f>
        <v>#N/A</v>
      </c>
      <c r="N15" t="e">
        <f>LOOKUP(N2,C94:V95,C111:V111)</f>
        <v>#N/A</v>
      </c>
      <c r="O15" t="e">
        <f>LOOKUP(O2,C94:V95,C111:V111)</f>
        <v>#N/A</v>
      </c>
      <c r="P15" t="e">
        <f>LOOKUP(P2,C94:V95,C111:V111)</f>
        <v>#N/A</v>
      </c>
      <c r="Q15" t="e">
        <f>LOOKUP(Q2,C94:V95,C111:V111)</f>
        <v>#N/A</v>
      </c>
    </row>
    <row r="16" spans="1:17">
      <c r="A16" s="152" t="str">
        <f>B113</f>
        <v>g6</v>
      </c>
      <c r="B16">
        <f ca="1">LOOKUP(B2,C94:V95,C113:V113)</f>
        <v>-12</v>
      </c>
      <c r="C16">
        <f ca="1">LOOKUP(C2,C94:V95,C113:V113)</f>
        <v>-14</v>
      </c>
      <c r="D16">
        <f ca="1">LOOKUP(D2,C94:V95,C113:V113)</f>
        <v>-14</v>
      </c>
      <c r="E16">
        <f ca="1">LOOKUP(E2,C94:V95,C113:V113)</f>
        <v>-14</v>
      </c>
      <c r="F16">
        <f ca="1">LOOKUP(F2,C94:V95,C113:V113)</f>
        <v>-14</v>
      </c>
      <c r="G16">
        <f ca="1">LOOKUP(G2,C94:V95,C113:V113)</f>
        <v>-12</v>
      </c>
      <c r="H16">
        <f ca="1">LOOKUP(H2,C94:V95,C113:V113)</f>
        <v>-10</v>
      </c>
      <c r="I16">
        <f ca="1">LOOKUP(I2,C94:V95,C113:V113)</f>
        <v>-10</v>
      </c>
      <c r="J16">
        <f ca="1">LOOKUP(J2,C94:V95,C113:V113)</f>
        <v>-9</v>
      </c>
      <c r="K16">
        <f ca="1">LOOKUP(K2,C94:V95,C113:V113)</f>
        <v>-10</v>
      </c>
      <c r="L16">
        <f ca="1">LOOKUP(L2,C94:V95,C113:V113)</f>
        <v>-7</v>
      </c>
      <c r="M16" t="e">
        <f>LOOKUP(M2,C94:V95,C113:V113)</f>
        <v>#N/A</v>
      </c>
      <c r="N16" t="e">
        <f>LOOKUP(N2,C94:V95,C113:V113)</f>
        <v>#N/A</v>
      </c>
      <c r="O16" t="e">
        <f>LOOKUP(O2,C94:V95,C113:V113)</f>
        <v>#N/A</v>
      </c>
      <c r="P16" t="e">
        <f>LOOKUP(P2,C94:V95,C113:V113)</f>
        <v>#N/A</v>
      </c>
      <c r="Q16" t="e">
        <f>LOOKUP(Q2,C94:V95,C113:V113)</f>
        <v>#N/A</v>
      </c>
    </row>
    <row r="17" spans="1:17">
      <c r="A17" s="152" t="str">
        <f>B115</f>
        <v>g7</v>
      </c>
      <c r="B17">
        <f ca="1">LOOKUP(B2,C94:V95,C115:V115)</f>
        <v>-12</v>
      </c>
      <c r="C17">
        <f ca="1">LOOKUP(C2,C94:V95,C115:V115)</f>
        <v>-14</v>
      </c>
      <c r="D17">
        <f ca="1">LOOKUP(D2,C94:V95,C115:V115)</f>
        <v>-14</v>
      </c>
      <c r="E17">
        <f ca="1">LOOKUP(E2,C94:V95,C115:V115)</f>
        <v>-14</v>
      </c>
      <c r="F17">
        <f ca="1">LOOKUP(F2,C94:V95,C115:V115)</f>
        <v>-14</v>
      </c>
      <c r="G17">
        <f ca="1">LOOKUP(G2,C94:V95,C115:V115)</f>
        <v>-12</v>
      </c>
      <c r="H17">
        <f ca="1">LOOKUP(H2,C94:V95,C115:V115)</f>
        <v>-10</v>
      </c>
      <c r="I17">
        <f ca="1">LOOKUP(I2,C94:V95,C115:V115)</f>
        <v>-10</v>
      </c>
      <c r="J17">
        <f ca="1">LOOKUP(J2,C94:V95,C115:V115)</f>
        <v>-9</v>
      </c>
      <c r="K17">
        <f ca="1">LOOKUP(K2,C94:V95,C115:V115)</f>
        <v>-10</v>
      </c>
      <c r="L17">
        <f ca="1">LOOKUP(L2,C94:V95,C115:V115)</f>
        <v>-7</v>
      </c>
      <c r="M17" t="e">
        <f>LOOKUP(M2,C94:V95,C115:V115)</f>
        <v>#N/A</v>
      </c>
      <c r="N17" t="e">
        <f>LOOKUP(N2,C94:V95,C115:V115)</f>
        <v>#N/A</v>
      </c>
      <c r="O17" t="e">
        <f>LOOKUP(O2,C94:V95,C115:V115)</f>
        <v>#N/A</v>
      </c>
      <c r="P17" t="e">
        <f>LOOKUP(P2,C94:V95,C115:V115)</f>
        <v>#N/A</v>
      </c>
      <c r="Q17" t="e">
        <f>LOOKUP(Q2,C94:V95,C115:V115)</f>
        <v>#N/A</v>
      </c>
    </row>
    <row r="18" spans="1:17">
      <c r="A18" s="152" t="str">
        <f>B117</f>
        <v>h4</v>
      </c>
      <c r="B18">
        <f ca="1">LOOKUP(B2,C94:V95,C117:V117)</f>
        <v>0</v>
      </c>
      <c r="C18">
        <f ca="1">LOOKUP(C2,C94:V95,C117:V117)</f>
        <v>0</v>
      </c>
      <c r="D18">
        <f ca="1">LOOKUP(D2,C94:V95,C117:V117)</f>
        <v>0</v>
      </c>
      <c r="E18">
        <f ca="1">LOOKUP(E2,C94:V95,C117:V117)</f>
        <v>0</v>
      </c>
      <c r="F18">
        <f ca="1">LOOKUP(F2,C94:V95,C117:V117)</f>
        <v>0</v>
      </c>
      <c r="G18">
        <f ca="1">LOOKUP(G2,C94:V95,C117:V117)</f>
        <v>0</v>
      </c>
      <c r="H18">
        <f ca="1">LOOKUP(H2,C94:V95,C117:V117)</f>
        <v>0</v>
      </c>
      <c r="I18">
        <f ca="1">LOOKUP(I2,C94:V95,C117:V117)</f>
        <v>0</v>
      </c>
      <c r="J18">
        <f ca="1">LOOKUP(J2,C94:V95,C117:V117)</f>
        <v>0</v>
      </c>
      <c r="K18">
        <f ca="1">LOOKUP(K2,C94:V95,C117:V117)</f>
        <v>0</v>
      </c>
      <c r="L18">
        <f ca="1">LOOKUP(L2,C94:V95,C117:V117)</f>
        <v>0</v>
      </c>
      <c r="M18" t="e">
        <f>LOOKUP(M2,C94:V95,C117:V117)</f>
        <v>#N/A</v>
      </c>
      <c r="N18" t="e">
        <f>LOOKUP(N2,C94:V95,C117:V117)</f>
        <v>#N/A</v>
      </c>
      <c r="O18" t="e">
        <f>LOOKUP(O2,C94:V95,C117:V117)</f>
        <v>#N/A</v>
      </c>
      <c r="P18" t="e">
        <f>LOOKUP(P2,C94:V95,C117:V117)</f>
        <v>#N/A</v>
      </c>
      <c r="Q18" t="e">
        <f>LOOKUP(Q2,C94:V95,C117:V117)</f>
        <v>#N/A</v>
      </c>
    </row>
    <row r="19" spans="1:17">
      <c r="A19" s="152" t="str">
        <f>B119</f>
        <v>h5</v>
      </c>
      <c r="B19">
        <f ca="1">LOOKUP(B2,C94:V95,C119:V119)</f>
        <v>0</v>
      </c>
      <c r="C19">
        <f ca="1">LOOKUP(C2,C94:V95,C119:V119)</f>
        <v>0</v>
      </c>
      <c r="D19">
        <f ca="1">LOOKUP(D2,C94:V95,C119:V119)</f>
        <v>0</v>
      </c>
      <c r="E19">
        <f ca="1">LOOKUP(E2,C94:V95,C119:V119)</f>
        <v>0</v>
      </c>
      <c r="F19">
        <f ca="1">LOOKUP(F2,C94:V95,C119:V119)</f>
        <v>0</v>
      </c>
      <c r="G19">
        <f ca="1">LOOKUP(G2,C94:V95,C119:V119)</f>
        <v>0</v>
      </c>
      <c r="H19">
        <f ca="1">LOOKUP(H2,C94:V95,C119:V119)</f>
        <v>0</v>
      </c>
      <c r="I19">
        <f ca="1">LOOKUP(I2,C94:V95,C119:V119)</f>
        <v>0</v>
      </c>
      <c r="J19">
        <f ca="1">LOOKUP(J2,C94:V95,C119:V119)</f>
        <v>0</v>
      </c>
      <c r="K19">
        <f ca="1">LOOKUP(K2,C94:V95,C119:V119)</f>
        <v>0</v>
      </c>
      <c r="L19">
        <f ca="1">LOOKUP(L2,C94:V95,C119:V119)</f>
        <v>0</v>
      </c>
      <c r="M19" t="e">
        <f>LOOKUP(M2,C94:V95,C119:V119)</f>
        <v>#N/A</v>
      </c>
      <c r="N19" t="e">
        <f>LOOKUP(N2,C94:V95,C119:V119)</f>
        <v>#N/A</v>
      </c>
      <c r="O19" t="e">
        <f>LOOKUP(O2,C94:V95,C119:V119)</f>
        <v>#N/A</v>
      </c>
      <c r="P19" t="e">
        <f>LOOKUP(P2,C94:V95,C119:V119)</f>
        <v>#N/A</v>
      </c>
      <c r="Q19" t="e">
        <f>LOOKUP(Q2,C94:V95,C119:V119)</f>
        <v>#N/A</v>
      </c>
    </row>
    <row r="20" spans="1:17">
      <c r="A20" s="152" t="str">
        <f>B121</f>
        <v>h6</v>
      </c>
      <c r="B20">
        <f ca="1">LOOKUP(B2,C94:V95,C121:V121)</f>
        <v>0</v>
      </c>
      <c r="C20">
        <f ca="1">LOOKUP(C2,C94:V95,C121:V121)</f>
        <v>0</v>
      </c>
      <c r="D20">
        <f ca="1">LOOKUP(D2,C94:V95,C121:V121)</f>
        <v>0</v>
      </c>
      <c r="E20">
        <f ca="1">LOOKUP(E2,C94:V95,C121:V121)</f>
        <v>0</v>
      </c>
      <c r="F20">
        <f ca="1">LOOKUP(F2,C94:V95,C121:V121)</f>
        <v>0</v>
      </c>
      <c r="G20">
        <f ca="1">LOOKUP(G2,C94:V95,C121:V121)</f>
        <v>0</v>
      </c>
      <c r="H20">
        <f ca="1">LOOKUP(H2,C94:V95,C121:V121)</f>
        <v>0</v>
      </c>
      <c r="I20">
        <f ca="1">LOOKUP(I2,C94:V95,C121:V121)</f>
        <v>0</v>
      </c>
      <c r="J20">
        <f ca="1">LOOKUP(J2,C94:V95,C121:V121)</f>
        <v>0</v>
      </c>
      <c r="K20">
        <f ca="1">LOOKUP(K2,C94:V95,C121:V121)</f>
        <v>0</v>
      </c>
      <c r="L20">
        <f ca="1">LOOKUP(L2,C94:V95,C121:V121)</f>
        <v>0</v>
      </c>
      <c r="M20" t="e">
        <f>LOOKUP(M2,C94:V95,C121:V121)</f>
        <v>#N/A</v>
      </c>
      <c r="N20" t="e">
        <f>LOOKUP(N2,C94:V95,C121:V121)</f>
        <v>#N/A</v>
      </c>
      <c r="O20" t="e">
        <f>LOOKUP(O2,C94:V95,C121:V121)</f>
        <v>#N/A</v>
      </c>
      <c r="P20" t="e">
        <f>LOOKUP(P2,C94:V95,C121:V121)</f>
        <v>#N/A</v>
      </c>
      <c r="Q20" t="e">
        <f>LOOKUP(Q2,C94:V95,C121:V121)</f>
        <v>#N/A</v>
      </c>
    </row>
    <row r="21" spans="1:17">
      <c r="A21" s="152" t="str">
        <f>B123</f>
        <v>h7</v>
      </c>
      <c r="B21">
        <f ca="1">LOOKUP(B2,C94:V95,C123:V123)</f>
        <v>0</v>
      </c>
      <c r="C21">
        <f ca="1">LOOKUP(C2,C94:V95,C123:V123)</f>
        <v>0</v>
      </c>
      <c r="D21">
        <f ca="1">LOOKUP(D2,C94:V95,C123:V123)</f>
        <v>0</v>
      </c>
      <c r="E21">
        <f ca="1">LOOKUP(E2,C94:V95,C123:V123)</f>
        <v>0</v>
      </c>
      <c r="F21">
        <f ca="1">LOOKUP(F2,C94:V95,C123:V123)</f>
        <v>0</v>
      </c>
      <c r="G21">
        <f ca="1">LOOKUP(G2,C94:V95,C123:V123)</f>
        <v>0</v>
      </c>
      <c r="H21">
        <f ca="1">LOOKUP(H2,C94:V95,C123:V123)</f>
        <v>0</v>
      </c>
      <c r="I21">
        <f ca="1">LOOKUP(I2,C94:V95,C123:V123)</f>
        <v>0</v>
      </c>
      <c r="J21">
        <f ca="1">LOOKUP(J2,C94:V95,C123:V123)</f>
        <v>0</v>
      </c>
      <c r="K21">
        <f ca="1">LOOKUP(K2,C94:V95,C123:V123)</f>
        <v>0</v>
      </c>
      <c r="L21">
        <f ca="1">LOOKUP(L2,C94:V95,C123:V123)</f>
        <v>0</v>
      </c>
      <c r="M21" t="e">
        <f>LOOKUP(M2,C94:V95,C123:V123)</f>
        <v>#N/A</v>
      </c>
      <c r="N21" t="e">
        <f>LOOKUP(N2,C94:V95,C123:V123)</f>
        <v>#N/A</v>
      </c>
      <c r="O21" t="e">
        <f>LOOKUP(O2,C94:V95,C123:V123)</f>
        <v>#N/A</v>
      </c>
      <c r="P21" t="e">
        <f>LOOKUP(P2,C94:V95,C123:V123)</f>
        <v>#N/A</v>
      </c>
      <c r="Q21" t="e">
        <f>LOOKUP(Q2,C94:V95,C123:V123)</f>
        <v>#N/A</v>
      </c>
    </row>
    <row r="22" spans="1:17">
      <c r="A22" s="152" t="str">
        <f>B125</f>
        <v>h8</v>
      </c>
      <c r="B22">
        <f ca="1">LOOKUP(B2,C94:V95,C125:V125)</f>
        <v>0</v>
      </c>
      <c r="C22">
        <f ca="1">LOOKUP(C2,C94:V95,C125:V125)</f>
        <v>0</v>
      </c>
      <c r="D22">
        <f ca="1">LOOKUP(D2,C94:V95,C125:V125)</f>
        <v>0</v>
      </c>
      <c r="E22">
        <f ca="1">LOOKUP(E2,C94:V95,C125:V125)</f>
        <v>0</v>
      </c>
      <c r="F22">
        <f ca="1">LOOKUP(F2,C94:V95,C125:V125)</f>
        <v>0</v>
      </c>
      <c r="G22">
        <f ca="1">LOOKUP(G2,C94:V95,C125:V125)</f>
        <v>0</v>
      </c>
      <c r="H22">
        <f ca="1">LOOKUP(H2,C94:V95,C125:V125)</f>
        <v>0</v>
      </c>
      <c r="I22">
        <f ca="1">LOOKUP(I2,C94:V95,C125:V125)</f>
        <v>0</v>
      </c>
      <c r="J22">
        <f ca="1">LOOKUP(J2,C94:V95,C125:V125)</f>
        <v>0</v>
      </c>
      <c r="K22">
        <f ca="1">LOOKUP(K2,C94:V95,C125:V125)</f>
        <v>0</v>
      </c>
      <c r="L22">
        <f ca="1">LOOKUP(L2,C94:V95,C125:V125)</f>
        <v>0</v>
      </c>
      <c r="M22" t="e">
        <f>LOOKUP(M2,C94:V95,C125:V125)</f>
        <v>#N/A</v>
      </c>
      <c r="N22" t="e">
        <f>LOOKUP(N2,C94:V95,C125:V125)</f>
        <v>#N/A</v>
      </c>
      <c r="O22" t="e">
        <f>LOOKUP(O2,C94:V95,C125:V125)</f>
        <v>#N/A</v>
      </c>
      <c r="P22" t="e">
        <f>LOOKUP(P2,C94:V95,C125:V125)</f>
        <v>#N/A</v>
      </c>
      <c r="Q22" t="e">
        <f>LOOKUP(Q2,C94:V95,C125:V125)</f>
        <v>#N/A</v>
      </c>
    </row>
    <row r="23" spans="1:17">
      <c r="A23" s="152" t="str">
        <f>B127</f>
        <v>h9</v>
      </c>
      <c r="B23">
        <f ca="1">LOOKUP(B2,C94:V95,C127:V127)</f>
        <v>0</v>
      </c>
      <c r="C23">
        <f ca="1">LOOKUP(C2,C94:V95,C127:V127)</f>
        <v>0</v>
      </c>
      <c r="D23">
        <f ca="1">LOOKUP(D2,C94:V95,C127:V127)</f>
        <v>0</v>
      </c>
      <c r="E23">
        <f ca="1">LOOKUP(E2,C94:V95,C127:V127)</f>
        <v>0</v>
      </c>
      <c r="F23">
        <f ca="1">LOOKUP(F2,C94:V95,C127:V127)</f>
        <v>0</v>
      </c>
      <c r="G23">
        <f ca="1">LOOKUP(G2,C94:V95,C127:V127)</f>
        <v>0</v>
      </c>
      <c r="H23">
        <f ca="1">LOOKUP(H2,C94:V95,C127:V127)</f>
        <v>0</v>
      </c>
      <c r="I23">
        <f ca="1">LOOKUP(I2,C94:V95,C127:V127)</f>
        <v>0</v>
      </c>
      <c r="J23">
        <f ca="1">LOOKUP(J2,C94:V95,C127:V127)</f>
        <v>0</v>
      </c>
      <c r="K23">
        <f ca="1">LOOKUP(K2,C94:V95,C127:V127)</f>
        <v>0</v>
      </c>
      <c r="L23">
        <f ca="1">LOOKUP(L2,C94:V95,C127:V127)</f>
        <v>0</v>
      </c>
      <c r="M23" t="e">
        <f>LOOKUP(M2,C94:V95,C127:V127)</f>
        <v>#N/A</v>
      </c>
      <c r="N23" t="e">
        <f>LOOKUP(N2,C94:V95,C127:V127)</f>
        <v>#N/A</v>
      </c>
      <c r="O23" t="e">
        <f>LOOKUP(O2,C94:V95,C127:V127)</f>
        <v>#N/A</v>
      </c>
      <c r="P23" t="e">
        <f>LOOKUP(P2,C94:V95,C127:V127)</f>
        <v>#N/A</v>
      </c>
      <c r="Q23" t="e">
        <f>LOOKUP(Q2,C94:V95,C127:V127)</f>
        <v>#N/A</v>
      </c>
    </row>
    <row r="24" spans="1:17">
      <c r="A24" s="153" t="str">
        <f>B129</f>
        <v>h10</v>
      </c>
      <c r="B24">
        <f ca="1">LOOKUP(B2,C94:V95,C129:V129)</f>
        <v>0</v>
      </c>
      <c r="C24">
        <f ca="1">LOOKUP(C2,C94:V95,C129:V129)</f>
        <v>0</v>
      </c>
      <c r="D24">
        <f ca="1">LOOKUP(D2,C94:V95,C129:V129)</f>
        <v>0</v>
      </c>
      <c r="E24">
        <f ca="1">LOOKUP(E2,C94:V95,C129:V129)</f>
        <v>0</v>
      </c>
      <c r="F24">
        <f ca="1">LOOKUP(F2,C94:V95,C129:V129)</f>
        <v>0</v>
      </c>
      <c r="G24">
        <f ca="1">LOOKUP(G2,C94:V95,C129:V129)</f>
        <v>0</v>
      </c>
      <c r="H24">
        <f ca="1">LOOKUP(H2,C94:V95,C129:V129)</f>
        <v>0</v>
      </c>
      <c r="I24">
        <f ca="1">LOOKUP(I2,C94:V95,C129:V129)</f>
        <v>0</v>
      </c>
      <c r="J24">
        <f ca="1">LOOKUP(J2,C94:V95,C129:V129)</f>
        <v>0</v>
      </c>
      <c r="K24">
        <f ca="1">LOOKUP(K2,C94:V95,C129:V129)</f>
        <v>0</v>
      </c>
      <c r="L24">
        <f ca="1">LOOKUP(L2,C94:V95,C129:V129)</f>
        <v>0</v>
      </c>
      <c r="M24" t="e">
        <f>LOOKUP(M2,C94:V95,C129:V129)</f>
        <v>#N/A</v>
      </c>
      <c r="N24" t="e">
        <f>LOOKUP(N2,C94:V95,C129:V129)</f>
        <v>#N/A</v>
      </c>
      <c r="O24" t="e">
        <f>LOOKUP(O2,C94:V95,C129:V129)</f>
        <v>#N/A</v>
      </c>
      <c r="P24" t="e">
        <f>LOOKUP(P2,C94:V95,C129:V129)</f>
        <v>#N/A</v>
      </c>
      <c r="Q24" t="e">
        <f>LOOKUP(Q2,C94:V95,C129:V129)</f>
        <v>#N/A</v>
      </c>
    </row>
    <row r="25" spans="1:17">
      <c r="A25" s="152" t="str">
        <f>B131</f>
        <v>h11</v>
      </c>
      <c r="B25">
        <f ca="1">LOOKUP(B2,C94:V95,C131:V131)</f>
        <v>0</v>
      </c>
      <c r="C25">
        <f ca="1">LOOKUP(C2,C94:V95,C131:V131)</f>
        <v>0</v>
      </c>
      <c r="D25">
        <f ca="1">LOOKUP(D2,C94:V95,C131:V131)</f>
        <v>0</v>
      </c>
      <c r="E25">
        <f ca="1">LOOKUP(E2,C94:V95,C131:V131)</f>
        <v>0</v>
      </c>
      <c r="F25">
        <f ca="1">LOOKUP(F2,C94:V95,C131:V131)</f>
        <v>0</v>
      </c>
      <c r="G25">
        <f ca="1">LOOKUP(G2,C94:V95,C131:V131)</f>
        <v>0</v>
      </c>
      <c r="H25">
        <f ca="1">LOOKUP(H2,C94:V95,C131:V131)</f>
        <v>0</v>
      </c>
      <c r="I25">
        <f ca="1">LOOKUP(I2,C94:V95,C131:V131)</f>
        <v>0</v>
      </c>
      <c r="J25">
        <f ca="1">LOOKUP(J2,C94:V95,C131:V131)</f>
        <v>0</v>
      </c>
      <c r="K25">
        <f ca="1">LOOKUP(K2,C94:V95,C131:V131)</f>
        <v>0</v>
      </c>
      <c r="L25">
        <f ca="1">LOOKUP(L2,C94:V95,C131:V131)</f>
        <v>0</v>
      </c>
      <c r="M25" t="e">
        <f>LOOKUP(M2,C94:V95,C131:V131)</f>
        <v>#N/A</v>
      </c>
      <c r="N25" t="e">
        <f>LOOKUP(N2,C94:V95,C131:V131)</f>
        <v>#N/A</v>
      </c>
      <c r="O25" t="e">
        <f>LOOKUP(O2,C94:V95,C131:V131)</f>
        <v>#N/A</v>
      </c>
      <c r="P25" t="e">
        <f>LOOKUP(P2,C94:V95,C131:V131)</f>
        <v>#N/A</v>
      </c>
      <c r="Q25" t="e">
        <f>LOOKUP(Q2,C94:V95,C131:V131)</f>
        <v>#N/A</v>
      </c>
    </row>
    <row r="26" spans="1:17">
      <c r="A26" s="152" t="str">
        <f>B133</f>
        <v>h12</v>
      </c>
      <c r="B26">
        <f ca="1">LOOKUP(B2,C94:V95,C133:V133)</f>
        <v>0</v>
      </c>
      <c r="C26">
        <f ca="1">LOOKUP(C2,C94:V95,C133:V133)</f>
        <v>0</v>
      </c>
      <c r="D26">
        <f ca="1">LOOKUP(D2,C94:V95,C133:V133)</f>
        <v>0</v>
      </c>
      <c r="E26">
        <f ca="1">LOOKUP(E2,C94:V95,C133:V133)</f>
        <v>0</v>
      </c>
      <c r="F26">
        <f ca="1">LOOKUP(F2,C94:V95,C133:V133)</f>
        <v>0</v>
      </c>
      <c r="G26">
        <f ca="1">LOOKUP(G2,C94:V95,C133:V133)</f>
        <v>0</v>
      </c>
      <c r="H26">
        <f ca="1">LOOKUP(H2,C94:V95,C133:V133)</f>
        <v>0</v>
      </c>
      <c r="I26">
        <f ca="1">LOOKUP(I2,C94:V95,C133:V133)</f>
        <v>0</v>
      </c>
      <c r="J26">
        <f ca="1">LOOKUP(J2,C94:V95,C133:V133)</f>
        <v>0</v>
      </c>
      <c r="K26">
        <f ca="1">LOOKUP(K2,C94:V95,C133:V133)</f>
        <v>0</v>
      </c>
      <c r="L26">
        <f ca="1">LOOKUP(L2,C94:V95,C133:V133)</f>
        <v>0</v>
      </c>
      <c r="M26" t="e">
        <f>LOOKUP(M2,C94:V95,C133:V133)</f>
        <v>#N/A</v>
      </c>
      <c r="N26" t="e">
        <f>LOOKUP(N2,C94:V95,C133:V133)</f>
        <v>#N/A</v>
      </c>
      <c r="O26" t="e">
        <f>LOOKUP(O2,C94:V95,C133:V133)</f>
        <v>#N/A</v>
      </c>
      <c r="P26" t="e">
        <f>LOOKUP(P2,C94:V95,C133:V133)</f>
        <v>#N/A</v>
      </c>
      <c r="Q26" t="e">
        <f>LOOKUP(Q2,C94:V95,C133:V133)</f>
        <v>#N/A</v>
      </c>
    </row>
    <row r="27" spans="1:17">
      <c r="A27" s="152" t="str">
        <f>B135</f>
        <v>j5</v>
      </c>
      <c r="B27">
        <f ca="1">LOOKUP(B2,C94:V95,C135:V135)</f>
        <v>6</v>
      </c>
      <c r="C27">
        <f ca="1">LOOKUP(C2,C94:V95,C135:V135)</f>
        <v>7</v>
      </c>
      <c r="D27">
        <f ca="1">LOOKUP(D2,C94:V95,C135:V135)</f>
        <v>7</v>
      </c>
      <c r="E27">
        <f ca="1">LOOKUP(E2,C94:V95,C135:V135)</f>
        <v>7</v>
      </c>
      <c r="F27">
        <f ca="1">LOOKUP(F2,C94:V95,C135:V135)</f>
        <v>7</v>
      </c>
      <c r="G27">
        <f ca="1">LOOKUP(G2,C94:V95,C135:V135)</f>
        <v>6</v>
      </c>
      <c r="H27">
        <f ca="1">LOOKUP(H2,C94:V95,C135:V135)</f>
        <v>6</v>
      </c>
      <c r="I27">
        <f ca="1">LOOKUP(I2,C94:V95,C135:V135)</f>
        <v>6</v>
      </c>
      <c r="J27">
        <f ca="1">LOOKUP(J2,C94:V95,C135:V135)</f>
        <v>6</v>
      </c>
      <c r="K27">
        <f ca="1">LOOKUP(K2,C94:V95,C135:V135)</f>
        <v>6</v>
      </c>
      <c r="L27">
        <f ca="1">LOOKUP(L2,C94:V95,C135:V135)</f>
        <v>5</v>
      </c>
      <c r="M27" t="e">
        <f>LOOKUP(M2,C94:V95,C135:V135)</f>
        <v>#N/A</v>
      </c>
      <c r="N27" t="e">
        <f>LOOKUP(N2,C94:V95,C135:V135)</f>
        <v>#N/A</v>
      </c>
      <c r="O27" t="e">
        <f>LOOKUP(O2,C94:V95,C135:V135)</f>
        <v>#N/A</v>
      </c>
      <c r="P27" t="e">
        <f>LOOKUP(P2,C94:V95,C135:V135)</f>
        <v>#N/A</v>
      </c>
      <c r="Q27" t="e">
        <f>LOOKUP(Q2,C94:V95,C135:V135)</f>
        <v>#N/A</v>
      </c>
    </row>
    <row r="28" spans="1:17">
      <c r="A28" s="152" t="str">
        <f>B137</f>
        <v>j6</v>
      </c>
      <c r="B28">
        <f ca="1">LOOKUP(B2,C94:V95,C137:V137)</f>
        <v>13</v>
      </c>
      <c r="C28">
        <f ca="1">LOOKUP(C2,C94:V95,C137:V137)</f>
        <v>14</v>
      </c>
      <c r="D28">
        <f ca="1">LOOKUP(D2,C94:V95,C137:V137)</f>
        <v>14</v>
      </c>
      <c r="E28">
        <f ca="1">LOOKUP(E2,C94:V95,C137:V137)</f>
        <v>14</v>
      </c>
      <c r="F28">
        <f ca="1">LOOKUP(F2,C94:V95,C137:V137)</f>
        <v>14</v>
      </c>
      <c r="G28">
        <f ca="1">LOOKUP(G2,C94:V95,C137:V137)</f>
        <v>13</v>
      </c>
      <c r="H28">
        <f ca="1">LOOKUP(H2,C94:V95,C137:V137)</f>
        <v>12</v>
      </c>
      <c r="I28">
        <f ca="1">LOOKUP(I2,C94:V95,C137:V137)</f>
        <v>12</v>
      </c>
      <c r="J28">
        <f ca="1">LOOKUP(J2,C94:V95,C137:V137)</f>
        <v>11</v>
      </c>
      <c r="K28">
        <f ca="1">LOOKUP(K2,C94:V95,C137:V137)</f>
        <v>12</v>
      </c>
      <c r="L28">
        <f ca="1">LOOKUP(L2,C94:V95,C137:V137)</f>
        <v>9</v>
      </c>
      <c r="M28" t="e">
        <f>LOOKUP(M2,C94:V95,C137:V137)</f>
        <v>#N/A</v>
      </c>
      <c r="N28" t="e">
        <f>LOOKUP(N2,C94:V95,C137:V137)</f>
        <v>#N/A</v>
      </c>
      <c r="O28" t="e">
        <f>LOOKUP(O2,C94:V95,C137:V137)</f>
        <v>#N/A</v>
      </c>
      <c r="P28" t="e">
        <f>LOOKUP(P2,C94:V95,C137:V137)</f>
        <v>#N/A</v>
      </c>
      <c r="Q28" t="e">
        <f>LOOKUP(Q2,C94:V95,C137:V137)</f>
        <v>#N/A</v>
      </c>
    </row>
    <row r="29" spans="1:17">
      <c r="A29" s="152" t="str">
        <f>B139</f>
        <v>j7</v>
      </c>
      <c r="B29">
        <f ca="1">LOOKUP(B2,C94:V95,C139:V139)</f>
        <v>20</v>
      </c>
      <c r="C29">
        <f ca="1">LOOKUP(C2,C94:V95,C139:V139)</f>
        <v>22</v>
      </c>
      <c r="D29">
        <f ca="1">LOOKUP(D2,C94:V95,C139:V139)</f>
        <v>22</v>
      </c>
      <c r="E29">
        <f ca="1">LOOKUP(E2,C94:V95,C139:V139)</f>
        <v>22</v>
      </c>
      <c r="F29">
        <f ca="1">LOOKUP(F2,C94:V95,C139:V139)</f>
        <v>22</v>
      </c>
      <c r="G29">
        <f ca="1">LOOKUP(G2,C94:V95,C139:V139)</f>
        <v>20</v>
      </c>
      <c r="H29">
        <f ca="1">LOOKUP(H2,C94:V95,C139:V139)</f>
        <v>18</v>
      </c>
      <c r="I29">
        <f ca="1">LOOKUP(I2,C94:V95,C139:V139)</f>
        <v>18</v>
      </c>
      <c r="J29">
        <f ca="1">LOOKUP(J2,C94:V95,C139:V139)</f>
        <v>15</v>
      </c>
      <c r="K29">
        <f ca="1">LOOKUP(K2,C94:V95,C139:V139)</f>
        <v>18</v>
      </c>
      <c r="L29">
        <f ca="1">LOOKUP(L2,C94:V95,C139:V139)</f>
        <v>13</v>
      </c>
      <c r="M29" t="e">
        <f>LOOKUP(M2,C94:V95,C139:V139)</f>
        <v>#N/A</v>
      </c>
      <c r="N29" t="e">
        <f>LOOKUP(N2,C94:V95,C139:V139)</f>
        <v>#N/A</v>
      </c>
      <c r="O29" t="e">
        <f>LOOKUP(O2,C94:V95,C139:V139)</f>
        <v>#N/A</v>
      </c>
      <c r="P29" t="e">
        <f>LOOKUP(P2,C94:V95,C139:V139)</f>
        <v>#N/A</v>
      </c>
      <c r="Q29" t="e">
        <f>LOOKUP(Q2,C94:V95,C139:V139)</f>
        <v>#N/A</v>
      </c>
    </row>
    <row r="30" spans="1:17">
      <c r="A30" s="152" t="str">
        <f>B141</f>
        <v>js5</v>
      </c>
      <c r="B30">
        <f ca="1">LOOKUP(B2,C94:V95,C141:V141)</f>
        <v>7.5</v>
      </c>
      <c r="C30">
        <f ca="1">LOOKUP(C2,C94:V95,C141:V141)</f>
        <v>9</v>
      </c>
      <c r="D30">
        <f ca="1">LOOKUP(D2,C94:V95,C141:V141)</f>
        <v>9</v>
      </c>
      <c r="E30">
        <f ca="1">LOOKUP(E2,C94:V95,C141:V141)</f>
        <v>9</v>
      </c>
      <c r="F30">
        <f ca="1">LOOKUP(F2,C94:V95,C141:V141)</f>
        <v>9</v>
      </c>
      <c r="G30">
        <f ca="1">LOOKUP(G2,C94:V95,C141:V141)</f>
        <v>7.5</v>
      </c>
      <c r="H30">
        <f ca="1">LOOKUP(H2,C94:V95,C141:V141)</f>
        <v>6.5</v>
      </c>
      <c r="I30">
        <f ca="1">LOOKUP(I2,C94:V95,C141:V141)</f>
        <v>6.5</v>
      </c>
      <c r="J30">
        <f ca="1">LOOKUP(J2,C94:V95,C141:V141)</f>
        <v>5.5</v>
      </c>
      <c r="K30">
        <f ca="1">LOOKUP(K2,C94:V95,C141:V141)</f>
        <v>6.5</v>
      </c>
      <c r="L30">
        <f ca="1">LOOKUP(L2,C94:V95,C141:V141)</f>
        <v>4.5</v>
      </c>
      <c r="M30" t="e">
        <f>LOOKUP(M2,C94:V95,C141:V141)</f>
        <v>#N/A</v>
      </c>
      <c r="N30" t="e">
        <f>LOOKUP(N2,C94:V95,C141:V141)</f>
        <v>#N/A</v>
      </c>
      <c r="O30" t="e">
        <f>LOOKUP(O2,C94:V95,C141:V141)</f>
        <v>#N/A</v>
      </c>
      <c r="P30" t="e">
        <f>LOOKUP(P2,C94:V95,C141:V141)</f>
        <v>#N/A</v>
      </c>
      <c r="Q30" t="e">
        <f>LOOKUP(Q2,C94:V95,C141:V141)</f>
        <v>#N/A</v>
      </c>
    </row>
    <row r="31" spans="1:17">
      <c r="A31" s="152" t="str">
        <f>B143</f>
        <v>js6</v>
      </c>
      <c r="B31">
        <f ca="1">LOOKUP(B2,C94:V95,C143:V143)</f>
        <v>11</v>
      </c>
      <c r="C31">
        <f ca="1">LOOKUP(C2,C94:V95,C143:V143)</f>
        <v>12.5</v>
      </c>
      <c r="D31">
        <f ca="1">LOOKUP(D2,C94:V95,C143:V143)</f>
        <v>12.5</v>
      </c>
      <c r="E31">
        <f ca="1">LOOKUP(E2,C94:V95,C143:V143)</f>
        <v>12.5</v>
      </c>
      <c r="F31">
        <f ca="1">LOOKUP(F2,C94:V95,C143:V143)</f>
        <v>12.5</v>
      </c>
      <c r="G31">
        <f ca="1">LOOKUP(G2,C94:V95,C143:V143)</f>
        <v>11</v>
      </c>
      <c r="H31">
        <f ca="1">LOOKUP(H2,C94:V95,C143:V143)</f>
        <v>9.5</v>
      </c>
      <c r="I31">
        <f ca="1">LOOKUP(I2,C94:V95,C143:V143)</f>
        <v>9.5</v>
      </c>
      <c r="J31">
        <f ca="1">LOOKUP(J2,C94:V95,C143:V143)</f>
        <v>8</v>
      </c>
      <c r="K31">
        <f ca="1">LOOKUP(K2,C94:V95,C143:V143)</f>
        <v>9.5</v>
      </c>
      <c r="L31">
        <f ca="1">LOOKUP(L2,C94:V95,C143:V143)</f>
        <v>6.5</v>
      </c>
      <c r="M31" t="e">
        <f>LOOKUP(M2,C94:V95,C143:V143)</f>
        <v>#N/A</v>
      </c>
      <c r="N31" t="e">
        <f>LOOKUP(N2,C94:V95,C143:V143)</f>
        <v>#N/A</v>
      </c>
      <c r="O31" t="e">
        <f>LOOKUP(O2,C94:V95,C143:V143)</f>
        <v>#N/A</v>
      </c>
      <c r="P31" t="e">
        <f>LOOKUP(P2,C94:V95,C143:V143)</f>
        <v>#N/A</v>
      </c>
      <c r="Q31" t="e">
        <f>LOOKUP(Q2,C94:V95,C143:V143)</f>
        <v>#N/A</v>
      </c>
    </row>
    <row r="32" spans="1:17">
      <c r="A32" s="152" t="str">
        <f>B145</f>
        <v>js7</v>
      </c>
      <c r="B32">
        <f ca="1">LOOKUP(B2,C94:V95,C145:V145)</f>
        <v>17.5</v>
      </c>
      <c r="C32">
        <f ca="1">LOOKUP(C2,C94:V95,C145:V145)</f>
        <v>20</v>
      </c>
      <c r="D32">
        <f ca="1">LOOKUP(D2,C94:V95,C145:V145)</f>
        <v>20</v>
      </c>
      <c r="E32">
        <f ca="1">LOOKUP(E2,C94:V95,C145:V145)</f>
        <v>20</v>
      </c>
      <c r="F32">
        <f ca="1">LOOKUP(F2,C94:V95,C145:V145)</f>
        <v>20</v>
      </c>
      <c r="G32">
        <f ca="1">LOOKUP(G2,C94:V95,C145:V145)</f>
        <v>17.5</v>
      </c>
      <c r="H32">
        <f ca="1">LOOKUP(H2,C94:V95,C145:V145)</f>
        <v>15</v>
      </c>
      <c r="I32">
        <f ca="1">LOOKUP(I2,C94:V95,C145:V145)</f>
        <v>15</v>
      </c>
      <c r="J32">
        <f ca="1">LOOKUP(J2,C94:V95,C145:V145)</f>
        <v>12.5</v>
      </c>
      <c r="K32">
        <f ca="1">LOOKUP(K2,C94:V95,C145:V145)</f>
        <v>15</v>
      </c>
      <c r="L32">
        <f ca="1">LOOKUP(L2,C94:V95,C145:V145)</f>
        <v>10.5</v>
      </c>
      <c r="M32" t="e">
        <f>LOOKUP(M2,C94:V95,C145:V145)</f>
        <v>#N/A</v>
      </c>
      <c r="N32" t="e">
        <f>LOOKUP(N2,C94:V95,C145:V145)</f>
        <v>#N/A</v>
      </c>
      <c r="O32" t="e">
        <f>LOOKUP(O2,C94:V95,C145:V145)</f>
        <v>#N/A</v>
      </c>
      <c r="P32" t="e">
        <f>LOOKUP(P2,C94:V95,C145:V145)</f>
        <v>#N/A</v>
      </c>
      <c r="Q32" t="e">
        <f>LOOKUP(Q2,C94:V95,C145:V145)</f>
        <v>#N/A</v>
      </c>
    </row>
    <row r="33" spans="1:17">
      <c r="A33" s="152" t="str">
        <f>B147</f>
        <v>k5</v>
      </c>
      <c r="B33">
        <f ca="1">LOOKUP(B2,C94:V95,C147:V147)</f>
        <v>18</v>
      </c>
      <c r="C33">
        <f ca="1">LOOKUP(C2,C94:V95,C147:V147)</f>
        <v>21</v>
      </c>
      <c r="D33">
        <f ca="1">LOOKUP(D2,C94:V95,C147:V147)</f>
        <v>21</v>
      </c>
      <c r="E33">
        <f ca="1">LOOKUP(E2,C94:V95,C147:V147)</f>
        <v>21</v>
      </c>
      <c r="F33">
        <f ca="1">LOOKUP(F2,C94:V95,C147:V147)</f>
        <v>21</v>
      </c>
      <c r="G33">
        <f ca="1">LOOKUP(G2,C94:V95,C147:V147)</f>
        <v>18</v>
      </c>
      <c r="H33">
        <f ca="1">LOOKUP(H2,C94:V95,C147:V147)</f>
        <v>15</v>
      </c>
      <c r="I33">
        <f ca="1">LOOKUP(I2,C94:V95,C147:V147)</f>
        <v>15</v>
      </c>
      <c r="J33">
        <f ca="1">LOOKUP(J2,C94:V95,C147:V147)</f>
        <v>13</v>
      </c>
      <c r="K33">
        <f ca="1">LOOKUP(K2,C94:V95,C147:V147)</f>
        <v>15</v>
      </c>
      <c r="L33">
        <f ca="1">LOOKUP(L2,C94:V95,C147:V147)</f>
        <v>11</v>
      </c>
      <c r="M33" t="e">
        <f>LOOKUP(M2,C94:V95,C147:V147)</f>
        <v>#N/A</v>
      </c>
      <c r="N33" t="e">
        <f>LOOKUP(N2,C94:V95,C147:V147)</f>
        <v>#N/A</v>
      </c>
      <c r="O33" t="e">
        <f>LOOKUP(O2,C94:V95,C147:V147)</f>
        <v>#N/A</v>
      </c>
      <c r="P33" t="e">
        <f>LOOKUP(P2,C94:V95,C147:V147)</f>
        <v>#N/A</v>
      </c>
      <c r="Q33" t="e">
        <f>LOOKUP(Q2,C94:V95,C147:V147)</f>
        <v>#N/A</v>
      </c>
    </row>
    <row r="34" spans="1:17">
      <c r="A34" s="152" t="str">
        <f>B149</f>
        <v>k6</v>
      </c>
      <c r="B34">
        <f ca="1">LOOKUP(B2,C94:V95,C149:V149)</f>
        <v>25</v>
      </c>
      <c r="C34">
        <f ca="1">LOOKUP(C2,C94:V95,C149:V149)</f>
        <v>28</v>
      </c>
      <c r="D34">
        <f ca="1">LOOKUP(D2,C94:V95,C149:V149)</f>
        <v>28</v>
      </c>
      <c r="E34">
        <f ca="1">LOOKUP(E2,C94:V95,C149:V149)</f>
        <v>28</v>
      </c>
      <c r="F34">
        <f ca="1">LOOKUP(F2,C94:V95,C149:V149)</f>
        <v>28</v>
      </c>
      <c r="G34">
        <f ca="1">LOOKUP(G2,C94:V95,C149:V149)</f>
        <v>25</v>
      </c>
      <c r="H34">
        <f ca="1">LOOKUP(H2,C94:V95,C149:V149)</f>
        <v>21</v>
      </c>
      <c r="I34">
        <f ca="1">LOOKUP(I2,C94:V95,C149:V149)</f>
        <v>21</v>
      </c>
      <c r="J34">
        <f ca="1">LOOKUP(J2,C94:V95,C149:V149)</f>
        <v>18</v>
      </c>
      <c r="K34">
        <f ca="1">LOOKUP(K2,C94:V95,C149:V149)</f>
        <v>21</v>
      </c>
      <c r="L34">
        <f ca="1">LOOKUP(L2,C94:V95,C149:V149)</f>
        <v>15</v>
      </c>
      <c r="M34" t="e">
        <f>LOOKUP(M2,C94:V95,C149:V149)</f>
        <v>#N/A</v>
      </c>
      <c r="N34" t="e">
        <f>LOOKUP(N2,C94:V95,C149:V149)</f>
        <v>#N/A</v>
      </c>
      <c r="O34" t="e">
        <f>LOOKUP(O2,C94:V95,C149:V149)</f>
        <v>#N/A</v>
      </c>
      <c r="P34" t="e">
        <f>LOOKUP(P2,C94:V95,C149:V149)</f>
        <v>#N/A</v>
      </c>
      <c r="Q34" t="e">
        <f>LOOKUP(Q2,C94:V95,C149:V149)</f>
        <v>#N/A</v>
      </c>
    </row>
    <row r="35" spans="1:17">
      <c r="A35" s="152" t="str">
        <f>B151</f>
        <v>k7</v>
      </c>
      <c r="B35">
        <f ca="1">LOOKUP(B2,C94:V95,C151:V151)</f>
        <v>38</v>
      </c>
      <c r="C35">
        <f ca="1">LOOKUP(C2,C94:V95,C151:V151)</f>
        <v>43</v>
      </c>
      <c r="D35">
        <f ca="1">LOOKUP(D2,C94:V95,C151:V151)</f>
        <v>43</v>
      </c>
      <c r="E35">
        <f ca="1">LOOKUP(E2,C94:V95,C151:V151)</f>
        <v>43</v>
      </c>
      <c r="F35">
        <f ca="1">LOOKUP(F2,C94:V95,C151:V151)</f>
        <v>43</v>
      </c>
      <c r="G35">
        <f ca="1">LOOKUP(G2,C94:V95,C151:V151)</f>
        <v>38</v>
      </c>
      <c r="H35">
        <f ca="1">LOOKUP(H2,C94:V95,C151:V151)</f>
        <v>32</v>
      </c>
      <c r="I35">
        <f ca="1">LOOKUP(I2,C94:V95,C151:V151)</f>
        <v>32</v>
      </c>
      <c r="J35">
        <f ca="1">LOOKUP(J2,C94:V95,C151:V151)</f>
        <v>27</v>
      </c>
      <c r="K35">
        <f ca="1">LOOKUP(K2,C94:V95,C151:V151)</f>
        <v>32</v>
      </c>
      <c r="L35">
        <f ca="1">LOOKUP(L2,C94:V95,C151:V151)</f>
        <v>23</v>
      </c>
      <c r="M35" t="e">
        <f>LOOKUP(M2,C94:V95,C151:V151)</f>
        <v>#N/A</v>
      </c>
      <c r="N35" t="e">
        <f>LOOKUP(N2,C94:V95,C151:V151)</f>
        <v>#N/A</v>
      </c>
      <c r="O35" t="e">
        <f>LOOKUP(O2,C94:V95,C151:V151)</f>
        <v>#N/A</v>
      </c>
      <c r="P35" t="e">
        <f>LOOKUP(P2,C94:V95,C151:V151)</f>
        <v>#N/A</v>
      </c>
      <c r="Q35" t="e">
        <f>LOOKUP(Q2,C94:V95,C151:V151)</f>
        <v>#N/A</v>
      </c>
    </row>
    <row r="36" spans="1:17">
      <c r="A36" s="152" t="str">
        <f>B153</f>
        <v>m5</v>
      </c>
      <c r="B36">
        <f ca="1">LOOKUP(B2,C94:V95,C153:V153)</f>
        <v>28</v>
      </c>
      <c r="C36">
        <f ca="1">LOOKUP(C2,C94:V95,C153:V153)</f>
        <v>33</v>
      </c>
      <c r="D36">
        <f ca="1">LOOKUP(D2,C94:V95,C153:V153)</f>
        <v>33</v>
      </c>
      <c r="E36">
        <f ca="1">LOOKUP(E2,C94:V95,C153:V153)</f>
        <v>33</v>
      </c>
      <c r="F36">
        <f ca="1">LOOKUP(F2,C94:V95,C153:V153)</f>
        <v>33</v>
      </c>
      <c r="G36">
        <f ca="1">LOOKUP(G2,C94:V95,C153:V153)</f>
        <v>28</v>
      </c>
      <c r="H36">
        <f ca="1">LOOKUP(H2,C94:V95,C153:V153)</f>
        <v>24</v>
      </c>
      <c r="I36">
        <f ca="1">LOOKUP(I2,C94:V95,C153:V153)</f>
        <v>24</v>
      </c>
      <c r="J36">
        <f ca="1">LOOKUP(J2,C94:V95,C153:V153)</f>
        <v>20</v>
      </c>
      <c r="K36">
        <f ca="1">LOOKUP(K2,C94:V95,C153:V153)</f>
        <v>24</v>
      </c>
      <c r="L36">
        <f ca="1">LOOKUP(L2,C94:V95,C153:V153)</f>
        <v>17</v>
      </c>
      <c r="M36" t="e">
        <f>LOOKUP(M2,C94:V95,C153:V153)</f>
        <v>#N/A</v>
      </c>
      <c r="N36" t="e">
        <f>LOOKUP(N2,C94:V95,C153:V153)</f>
        <v>#N/A</v>
      </c>
      <c r="O36" t="e">
        <f>LOOKUP(O2,C94:V95,C153:V153)</f>
        <v>#N/A</v>
      </c>
      <c r="P36" t="e">
        <f>LOOKUP(P2,C94:V95,C153:V153)</f>
        <v>#N/A</v>
      </c>
      <c r="Q36" t="e">
        <f>LOOKUP(Q2,C94:V95,C153:V153)</f>
        <v>#N/A</v>
      </c>
    </row>
    <row r="37" spans="1:17">
      <c r="A37" s="152" t="str">
        <f>B155</f>
        <v>m6</v>
      </c>
      <c r="B37">
        <f ca="1">LOOKUP(B2,C94:V95,C155:V155)</f>
        <v>35</v>
      </c>
      <c r="C37">
        <f ca="1">LOOKUP(C2,C94:V95,C155:V155)</f>
        <v>40</v>
      </c>
      <c r="D37">
        <f ca="1">LOOKUP(D2,C94:V95,C155:V155)</f>
        <v>40</v>
      </c>
      <c r="E37">
        <f ca="1">LOOKUP(E2,C94:V95,C155:V155)</f>
        <v>40</v>
      </c>
      <c r="F37">
        <f ca="1">LOOKUP(F2,C94:V95,C155:V155)</f>
        <v>40</v>
      </c>
      <c r="G37">
        <f ca="1">LOOKUP(G2,C94:V95,C155:V155)</f>
        <v>35</v>
      </c>
      <c r="H37">
        <f ca="1">LOOKUP(H2,C94:V95,C155:V155)</f>
        <v>30</v>
      </c>
      <c r="I37">
        <f ca="1">LOOKUP(I2,C94:V95,C155:V155)</f>
        <v>30</v>
      </c>
      <c r="J37">
        <f ca="1">LOOKUP(J2,C94:V95,C155:V155)</f>
        <v>25</v>
      </c>
      <c r="K37">
        <f ca="1">LOOKUP(K2,C94:V95,C155:V155)</f>
        <v>30</v>
      </c>
      <c r="L37">
        <f ca="1">LOOKUP(L2,C94:V95,C155:V155)</f>
        <v>21</v>
      </c>
      <c r="M37" t="e">
        <f>LOOKUP(M2,C94:V95,C155:V155)</f>
        <v>#N/A</v>
      </c>
      <c r="N37" t="e">
        <f>LOOKUP(N2,C94:V95,C155:V155)</f>
        <v>#N/A</v>
      </c>
      <c r="O37" t="e">
        <f>LOOKUP(O2,C94:V95,C155:V155)</f>
        <v>#N/A</v>
      </c>
      <c r="P37" t="e">
        <f>LOOKUP(P2,C94:V95,C155:V155)</f>
        <v>#N/A</v>
      </c>
      <c r="Q37" t="e">
        <f>LOOKUP(Q2,C94:V95,C155:V155)</f>
        <v>#N/A</v>
      </c>
    </row>
    <row r="38" spans="1:17">
      <c r="A38" s="152" t="str">
        <f>B157</f>
        <v>m7</v>
      </c>
      <c r="B38">
        <f ca="1">LOOKUP(B2,C94:V95,C157:V157)</f>
        <v>48</v>
      </c>
      <c r="C38">
        <f ca="1">LOOKUP(C2,C94:V95,C157:V157)</f>
        <v>55</v>
      </c>
      <c r="D38">
        <f ca="1">LOOKUP(D2,C94:V95,C157:V157)</f>
        <v>55</v>
      </c>
      <c r="E38">
        <f ca="1">LOOKUP(E2,C94:V95,C157:V157)</f>
        <v>55</v>
      </c>
      <c r="F38">
        <f ca="1">LOOKUP(F2,C94:V95,C157:V157)</f>
        <v>55</v>
      </c>
      <c r="G38">
        <f ca="1">LOOKUP(G2,C94:V95,C157:V157)</f>
        <v>48</v>
      </c>
      <c r="H38">
        <f ca="1">LOOKUP(H2,C94:V95,C157:V157)</f>
        <v>41</v>
      </c>
      <c r="I38">
        <f ca="1">LOOKUP(I2,C94:V95,C157:V157)</f>
        <v>41</v>
      </c>
      <c r="J38">
        <f ca="1">LOOKUP(J2,C94:V95,C157:V157)</f>
        <v>34</v>
      </c>
      <c r="K38">
        <f ca="1">LOOKUP(K2,C94:V95,C157:V157)</f>
        <v>41</v>
      </c>
      <c r="L38">
        <f ca="1">LOOKUP(L2,C94:V95,C157:V157)</f>
        <v>29</v>
      </c>
      <c r="M38" t="e">
        <f>LOOKUP(M2,C94:V95,C157:V157)</f>
        <v>#N/A</v>
      </c>
      <c r="N38" t="e">
        <f>LOOKUP(N2,C94:V95,C157:V157)</f>
        <v>#N/A</v>
      </c>
      <c r="O38" t="e">
        <f>LOOKUP(O2,C94:V95,C157:V157)</f>
        <v>#N/A</v>
      </c>
      <c r="P38" t="e">
        <f>LOOKUP(P2,C94:V95,C157:V157)</f>
        <v>#N/A</v>
      </c>
      <c r="Q38" t="e">
        <f>LOOKUP(Q2,C94:V95,C157:V157)</f>
        <v>#N/A</v>
      </c>
    </row>
    <row r="39" spans="1:17">
      <c r="A39" s="152" t="str">
        <f>B159</f>
        <v>n5</v>
      </c>
      <c r="B39">
        <f ca="1">LOOKUP(B2,C94:V95,C159:V159)</f>
        <v>38</v>
      </c>
      <c r="C39">
        <f ca="1">LOOKUP(C2,C94:V95,C159:V159)</f>
        <v>45</v>
      </c>
      <c r="D39">
        <f ca="1">LOOKUP(D2,C94:V95,C159:V159)</f>
        <v>45</v>
      </c>
      <c r="E39">
        <f ca="1">LOOKUP(E2,C94:V95,C159:V159)</f>
        <v>45</v>
      </c>
      <c r="F39">
        <f ca="1">LOOKUP(F2,C94:V95,C159:V159)</f>
        <v>45</v>
      </c>
      <c r="G39">
        <f ca="1">LOOKUP(G2,C94:V95,C159:V159)</f>
        <v>38</v>
      </c>
      <c r="H39">
        <f ca="1">LOOKUP(H2,C94:V95,C159:V159)</f>
        <v>33</v>
      </c>
      <c r="I39">
        <f ca="1">LOOKUP(I2,C94:V95,C159:V159)</f>
        <v>33</v>
      </c>
      <c r="J39">
        <f ca="1">LOOKUP(J2,C94:V95,C159:V159)</f>
        <v>28</v>
      </c>
      <c r="K39">
        <f ca="1">LOOKUP(K2,C94:V95,C159:V159)</f>
        <v>33</v>
      </c>
      <c r="L39">
        <f ca="1">LOOKUP(L2,C94:V95,C159:V159)</f>
        <v>24</v>
      </c>
      <c r="M39" t="e">
        <f>LOOKUP(M2,C94:V95,C159:V159)</f>
        <v>#N/A</v>
      </c>
      <c r="N39" t="e">
        <f>LOOKUP(N2,C94:V95,C159:V159)</f>
        <v>#N/A</v>
      </c>
      <c r="O39" t="e">
        <f>LOOKUP(O2,C94:V95,C159:V159)</f>
        <v>#N/A</v>
      </c>
      <c r="P39" t="e">
        <f>LOOKUP(P2,C94:V95,C159:V159)</f>
        <v>#N/A</v>
      </c>
      <c r="Q39" t="e">
        <f>LOOKUP(Q2,C94:V95,C159:V159)</f>
        <v>#N/A</v>
      </c>
    </row>
    <row r="40" spans="1:17">
      <c r="A40" s="152" t="str">
        <f>B161</f>
        <v>n6</v>
      </c>
      <c r="B40">
        <f ca="1">LOOKUP(B2,C94:V95,C161:V161)</f>
        <v>45</v>
      </c>
      <c r="C40">
        <f ca="1">LOOKUP(C2,C94:V95,C161:V161)</f>
        <v>52</v>
      </c>
      <c r="D40">
        <f ca="1">LOOKUP(D2,C94:V95,C161:V161)</f>
        <v>52</v>
      </c>
      <c r="E40">
        <f ca="1">LOOKUP(E2,C94:V95,C161:V161)</f>
        <v>52</v>
      </c>
      <c r="F40">
        <f ca="1">LOOKUP(F2,C94:V95,C161:V161)</f>
        <v>52</v>
      </c>
      <c r="G40">
        <f ca="1">LOOKUP(G2,C94:V95,C161:V161)</f>
        <v>45</v>
      </c>
      <c r="H40">
        <f ca="1">LOOKUP(H2,C94:V95,C161:V161)</f>
        <v>39</v>
      </c>
      <c r="I40">
        <f ca="1">LOOKUP(I2,C94:V95,C161:V161)</f>
        <v>39</v>
      </c>
      <c r="J40">
        <f ca="1">LOOKUP(J2,C94:V95,C161:V161)</f>
        <v>33</v>
      </c>
      <c r="K40">
        <f ca="1">LOOKUP(K2,C94:V95,C161:V161)</f>
        <v>39</v>
      </c>
      <c r="L40">
        <f ca="1">LOOKUP(L2,C94:V95,C161:V161)</f>
        <v>28</v>
      </c>
      <c r="M40" t="e">
        <f>LOOKUP(M2,C94:V95,C161:V161)</f>
        <v>#N/A</v>
      </c>
      <c r="N40" t="e">
        <f>LOOKUP(N2,C94:V95,C161:V161)</f>
        <v>#N/A</v>
      </c>
      <c r="O40" t="e">
        <f>LOOKUP(O2,C94:V95,C161:V161)</f>
        <v>#N/A</v>
      </c>
      <c r="P40" t="e">
        <f>LOOKUP(P2,C94:V95,C161:V161)</f>
        <v>#N/A</v>
      </c>
      <c r="Q40" t="e">
        <f>LOOKUP(Q2,C94:V95,C161:V161)</f>
        <v>#N/A</v>
      </c>
    </row>
    <row r="41" spans="1:17">
      <c r="A41" s="152" t="str">
        <f>B163</f>
        <v>n7</v>
      </c>
      <c r="B41">
        <f ca="1">LOOKUP(B2,C94:V95,C163:V163)</f>
        <v>58</v>
      </c>
      <c r="C41">
        <f ca="1">LOOKUP(C2,C94:V95,C163:V163)</f>
        <v>67</v>
      </c>
      <c r="D41">
        <f ca="1">LOOKUP(D2,C94:V95,C163:V163)</f>
        <v>67</v>
      </c>
      <c r="E41">
        <f ca="1">LOOKUP(E2,C94:V95,C163:V163)</f>
        <v>67</v>
      </c>
      <c r="F41">
        <f ca="1">LOOKUP(F2,C94:V95,C163:V163)</f>
        <v>67</v>
      </c>
      <c r="G41">
        <f ca="1">LOOKUP(G2,C94:V95,C163:V163)</f>
        <v>58</v>
      </c>
      <c r="H41">
        <f ca="1">LOOKUP(H2,C94:V95,C163:V163)</f>
        <v>50</v>
      </c>
      <c r="I41">
        <f ca="1">LOOKUP(I2,C94:V95,C163:V163)</f>
        <v>50</v>
      </c>
      <c r="J41">
        <f ca="1">LOOKUP(J2,C94:V95,C163:V163)</f>
        <v>42</v>
      </c>
      <c r="K41">
        <f ca="1">LOOKUP(K2,C94:V95,C163:V163)</f>
        <v>50</v>
      </c>
      <c r="L41">
        <f ca="1">LOOKUP(L2,C94:V95,C163:V163)</f>
        <v>36</v>
      </c>
      <c r="M41" t="e">
        <f>LOOKUP(M2,C94:V95,C163:V163)</f>
        <v>#N/A</v>
      </c>
      <c r="N41" t="e">
        <f>LOOKUP(N2,C94:V95,C163:V163)</f>
        <v>#N/A</v>
      </c>
      <c r="O41" t="e">
        <f>LOOKUP(O2,C94:V95,C163:V163)</f>
        <v>#N/A</v>
      </c>
      <c r="P41" t="e">
        <f>LOOKUP(P2,C94:V95,C163:V163)</f>
        <v>#N/A</v>
      </c>
      <c r="Q41" t="e">
        <f>LOOKUP(Q2,C94:V95,C163:V163)</f>
        <v>#N/A</v>
      </c>
    </row>
    <row r="42" spans="1:17">
      <c r="A42" s="152" t="str">
        <f>B165</f>
        <v>p5</v>
      </c>
      <c r="B42">
        <f ca="1">LOOKUP(B2,C94:V95,C165:V165)</f>
        <v>52</v>
      </c>
      <c r="C42">
        <f ca="1">LOOKUP(C2,C94:V95,C165:V165)</f>
        <v>61</v>
      </c>
      <c r="D42">
        <f ca="1">LOOKUP(D2,C94:V95,C165:V165)</f>
        <v>61</v>
      </c>
      <c r="E42">
        <f ca="1">LOOKUP(E2,C94:V95,C165:V165)</f>
        <v>61</v>
      </c>
      <c r="F42">
        <f ca="1">LOOKUP(F2,C94:V95,C165:V165)</f>
        <v>61</v>
      </c>
      <c r="G42">
        <f ca="1">LOOKUP(G2,C94:V95,C165:V165)</f>
        <v>52</v>
      </c>
      <c r="H42">
        <f ca="1">LOOKUP(H2,C94:V95,C165:V165)</f>
        <v>45</v>
      </c>
      <c r="I42">
        <f ca="1">LOOKUP(I2,C94:V95,C165:V165)</f>
        <v>45</v>
      </c>
      <c r="J42">
        <f ca="1">LOOKUP(J2,C94:V95,C165:V165)</f>
        <v>37</v>
      </c>
      <c r="K42">
        <f ca="1">LOOKUP(K2,C94:V95,C165:V165)</f>
        <v>45</v>
      </c>
      <c r="L42">
        <f ca="1">LOOKUP(L2,C94:V95,C165:V165)</f>
        <v>31</v>
      </c>
      <c r="M42" t="e">
        <f>LOOKUP(M2,C94:V95,C165:V165)</f>
        <v>#N/A</v>
      </c>
      <c r="N42" t="e">
        <f>LOOKUP(N2,C94:V95,C165:V165)</f>
        <v>#N/A</v>
      </c>
      <c r="O42" t="e">
        <f>LOOKUP(O2,C94:V95,C165:V165)</f>
        <v>#N/A</v>
      </c>
      <c r="P42" t="e">
        <f>LOOKUP(P2,C94:V95,C165:V165)</f>
        <v>#N/A</v>
      </c>
      <c r="Q42" t="e">
        <f>LOOKUP(Q2,C94:V95,C165:V165)</f>
        <v>#N/A</v>
      </c>
    </row>
    <row r="43" spans="1:17">
      <c r="A43" s="152" t="str">
        <f>B167</f>
        <v>p6</v>
      </c>
      <c r="B43">
        <f ca="1">LOOKUP(B2,C94:V95,C167:V167)</f>
        <v>59</v>
      </c>
      <c r="C43">
        <f ca="1">LOOKUP(C2,C94:V95,C167:V167)</f>
        <v>68</v>
      </c>
      <c r="D43">
        <f ca="1">LOOKUP(D2,C94:V95,C167:V167)</f>
        <v>68</v>
      </c>
      <c r="E43">
        <f ca="1">LOOKUP(E2,C94:V95,C167:V167)</f>
        <v>68</v>
      </c>
      <c r="F43">
        <f ca="1">LOOKUP(F2,C94:V95,C167:V167)</f>
        <v>68</v>
      </c>
      <c r="G43">
        <f ca="1">LOOKUP(G2,C94:V95,C167:V167)</f>
        <v>59</v>
      </c>
      <c r="H43">
        <f ca="1">LOOKUP(H2,C94:V95,C167:V167)</f>
        <v>51</v>
      </c>
      <c r="I43">
        <f ca="1">LOOKUP(I2,C94:V95,C167:V167)</f>
        <v>51</v>
      </c>
      <c r="J43">
        <f ca="1">LOOKUP(J2,C94:V95,C167:V167)</f>
        <v>42</v>
      </c>
      <c r="K43">
        <f ca="1">LOOKUP(K2,C94:V95,C167:V167)</f>
        <v>51</v>
      </c>
      <c r="L43">
        <f ca="1">LOOKUP(L2,C94:V95,C167:V167)</f>
        <v>35</v>
      </c>
      <c r="M43" t="e">
        <f>LOOKUP(M2,C94:V95,C167:V167)</f>
        <v>#N/A</v>
      </c>
      <c r="N43" t="e">
        <f>LOOKUP(N2,C94:V95,C167:V167)</f>
        <v>#N/A</v>
      </c>
      <c r="O43" t="e">
        <f>LOOKUP(O2,C94:V95,C167:V167)</f>
        <v>#N/A</v>
      </c>
      <c r="P43" t="e">
        <f>LOOKUP(P2,C94:V95,C167:V167)</f>
        <v>#N/A</v>
      </c>
      <c r="Q43" t="e">
        <f>LOOKUP(Q2,C94:V95,C167:V167)</f>
        <v>#N/A</v>
      </c>
    </row>
    <row r="44" spans="1:17">
      <c r="A44" s="152" t="str">
        <f>B169</f>
        <v>q6</v>
      </c>
      <c r="B44">
        <f ca="1">LOOKUP(B2,C94:V95,C169:V169)</f>
        <v>76</v>
      </c>
      <c r="C44">
        <f ca="1">LOOKUP(C2,C94:V95,C169:V169)</f>
        <v>88</v>
      </c>
      <c r="D44">
        <f ca="1">LOOKUP(D2,C94:V95,C169:V169)</f>
        <v>90</v>
      </c>
      <c r="E44">
        <f ca="1">LOOKUP(E2,C94:V95,C169:V169)</f>
        <v>93</v>
      </c>
      <c r="F44">
        <f ca="1">LOOKUP(F2,C94:V95,C169:V169)</f>
        <v>90</v>
      </c>
      <c r="G44">
        <f ca="1">LOOKUP(G2,C94:V95,C169:V169)</f>
        <v>73</v>
      </c>
      <c r="H44">
        <f ca="1">LOOKUP(H2,C94:V95,C169:V169)</f>
        <v>62</v>
      </c>
      <c r="I44">
        <f ca="1">LOOKUP(I2,C94:V95,C169:V169)</f>
        <v>60</v>
      </c>
      <c r="J44">
        <f ca="1">LOOKUP(J2,C94:V95,C169:V169)</f>
        <v>50</v>
      </c>
      <c r="K44">
        <f ca="1">LOOKUP(K2,C94:V95,C169:V169)</f>
        <v>60</v>
      </c>
      <c r="L44">
        <f ca="1">LOOKUP(L2,C94:V95,C169:V169)</f>
        <v>41</v>
      </c>
      <c r="M44" t="e">
        <f>LOOKUP(M2,C94:V95,C169:V169)</f>
        <v>#N/A</v>
      </c>
      <c r="N44" t="e">
        <f>LOOKUP(N2,C94:V95,C169:V169)</f>
        <v>#N/A</v>
      </c>
      <c r="O44" t="e">
        <f>LOOKUP(O2,C94:V95,C169:V169)</f>
        <v>#N/A</v>
      </c>
      <c r="P44" t="e">
        <f>LOOKUP(P2,C94:V95,C169:V169)</f>
        <v>#N/A</v>
      </c>
      <c r="Q44" t="e">
        <f>LOOKUP(Q2,C94:V95,C169:V169)</f>
        <v>#N/A</v>
      </c>
    </row>
    <row r="45" spans="1:17">
      <c r="A45" s="155"/>
    </row>
    <row r="46" spans="1:17">
      <c r="A46" s="155"/>
    </row>
    <row r="47" spans="1:17">
      <c r="A47" s="155"/>
    </row>
    <row r="48" spans="1:17">
      <c r="F48" s="154" t="s">
        <v>357</v>
      </c>
    </row>
    <row r="49" spans="1:17">
      <c r="A49" s="152" t="str">
        <f>A8</f>
        <v>a12</v>
      </c>
      <c r="B49">
        <f ca="1">LOOKUP(B2,C94:V95,C98:V98)</f>
        <v>-760</v>
      </c>
      <c r="C49">
        <f ca="1">LOOKUP(C2,C94:V95,C98:V98)</f>
        <v>-860</v>
      </c>
      <c r="D49">
        <f ca="1">LOOKUP(D2,C94:V95,C98:V98)</f>
        <v>-920</v>
      </c>
      <c r="E49">
        <f ca="1">LOOKUP(E2,C94:V95,C98:V98)</f>
        <v>-980</v>
      </c>
      <c r="F49">
        <f ca="1">LOOKUP(F2,C94:V95,C98:V98)</f>
        <v>-920</v>
      </c>
      <c r="G49">
        <f ca="1">LOOKUP(G2,C94:V95,C98:V98)</f>
        <v>-730</v>
      </c>
      <c r="H49">
        <f ca="1">LOOKUP(H2,C94:V95,C98:V98)</f>
        <v>-660</v>
      </c>
      <c r="I49">
        <f ca="1">LOOKUP(I2,C94:V95,C98:V98)</f>
        <v>-640</v>
      </c>
      <c r="J49">
        <f ca="1">LOOKUP(J2,C94:V95,C98:V98)</f>
        <v>-560</v>
      </c>
      <c r="K49">
        <f ca="1">LOOKUP(K2,C94:V95,C98:V98)</f>
        <v>-640</v>
      </c>
      <c r="L49">
        <f ca="1">LOOKUP(L2,C94:V95,C98:V98)</f>
        <v>-510</v>
      </c>
      <c r="M49" t="e">
        <f>LOOKUP(M2,C94:V95,C98:V98)</f>
        <v>#N/A</v>
      </c>
      <c r="N49" t="e">
        <f>LOOKUP(N2,C94:V95,C98:V98)</f>
        <v>#N/A</v>
      </c>
      <c r="O49" t="e">
        <f>LOOKUP(O2,C94:V95,C98:V98)</f>
        <v>#N/A</v>
      </c>
      <c r="P49" t="e">
        <f>LOOKUP(P2,C94:V95,C98:V98)</f>
        <v>#N/A</v>
      </c>
      <c r="Q49" t="e">
        <f>LOOKUP(Q2,C94:V95,C98:V98)</f>
        <v>#N/A</v>
      </c>
    </row>
    <row r="50" spans="1:17">
      <c r="A50" s="153" t="str">
        <f t="shared" ref="A50:A85" si="0">A9</f>
        <v>d6</v>
      </c>
      <c r="B50">
        <f ca="1">LOOKUP(B2,C94:V95,C100:V100)</f>
        <v>-142</v>
      </c>
      <c r="C50">
        <f ca="1">LOOKUP(C2,C94:V95,C100:V100)</f>
        <v>-170</v>
      </c>
      <c r="D50">
        <f ca="1">LOOKUP(D2,C94:V95,C100:V100)</f>
        <v>-170</v>
      </c>
      <c r="E50">
        <f ca="1">LOOKUP(E2,C94:V95,C100:V100)</f>
        <v>-170</v>
      </c>
      <c r="F50">
        <f ca="1">LOOKUP(F2,C94:V95,C100:V100)</f>
        <v>-170</v>
      </c>
      <c r="G50">
        <f ca="1">LOOKUP(G2,C94:V95,C100:V100)</f>
        <v>-142</v>
      </c>
      <c r="H50">
        <f ca="1">LOOKUP(H2,C94:V95,C100:V100)</f>
        <v>-119</v>
      </c>
      <c r="I50">
        <f ca="1">LOOKUP(I2,C94:V95,C100:V100)</f>
        <v>-119</v>
      </c>
      <c r="J50">
        <f ca="1">LOOKUP(J2,C94:V95,C100:V100)</f>
        <v>-96</v>
      </c>
      <c r="K50">
        <f ca="1">LOOKUP(K2,C94:V95,C100:V100)</f>
        <v>-119</v>
      </c>
      <c r="L50">
        <f ca="1">LOOKUP(L2,C94:V95,C100:V100)</f>
        <v>-78</v>
      </c>
      <c r="M50" t="e">
        <f>LOOKUP(M2,C94:V95,C100:V100)</f>
        <v>#N/A</v>
      </c>
      <c r="N50" t="e">
        <f>LOOKUP(N2,C94:V95,C100:V100)</f>
        <v>#N/A</v>
      </c>
      <c r="O50" t="e">
        <f>LOOKUP(O2,C94:V95,C100:V100)</f>
        <v>#N/A</v>
      </c>
      <c r="P50" t="e">
        <f>LOOKUP(P2,C94:V95,C100:V100)</f>
        <v>#N/A</v>
      </c>
      <c r="Q50" t="e">
        <f>LOOKUP(Q2,C94:V95,C100:V100)</f>
        <v>#N/A</v>
      </c>
    </row>
    <row r="51" spans="1:17">
      <c r="A51" s="153" t="str">
        <f t="shared" si="0"/>
        <v>e6</v>
      </c>
      <c r="B51">
        <f ca="1">LOOKUP(B2,C94:V95,C102:V102)</f>
        <v>-94</v>
      </c>
      <c r="C51">
        <f ca="1">LOOKUP(C2,C94:V95,C102:V102)</f>
        <v>-110</v>
      </c>
      <c r="D51">
        <f ca="1">LOOKUP(D2,C94:V95,C102:V102)</f>
        <v>-110</v>
      </c>
      <c r="E51">
        <f ca="1">LOOKUP(E2,C94:V95,C102:V102)</f>
        <v>-110</v>
      </c>
      <c r="F51">
        <f ca="1">LOOKUP(F2,C94:V95,C102:V102)</f>
        <v>-110</v>
      </c>
      <c r="G51">
        <f ca="1">LOOKUP(G2,C94:V95,C102:V102)</f>
        <v>-94</v>
      </c>
      <c r="H51">
        <f ca="1">LOOKUP(H2,C94:V95,C102:V102)</f>
        <v>-79</v>
      </c>
      <c r="I51">
        <f ca="1">LOOKUP(I2,C94:V95,C102:V102)</f>
        <v>-79</v>
      </c>
      <c r="J51">
        <f ca="1">LOOKUP(J2,C94:V95,C102:V102)</f>
        <v>-66</v>
      </c>
      <c r="K51">
        <f ca="1">LOOKUP(K2,C94:V95,C102:V102)</f>
        <v>-79</v>
      </c>
      <c r="L51">
        <f ca="1">LOOKUP(L2,C94:V95,C102:V102)</f>
        <v>-53</v>
      </c>
      <c r="M51" t="e">
        <f>LOOKUP(M2,C94:V95,C102:V102)</f>
        <v>#N/A</v>
      </c>
      <c r="N51" t="e">
        <f>LOOKUP(N2,C94:V95,C102:V102)</f>
        <v>#N/A</v>
      </c>
      <c r="O51" t="e">
        <f>LOOKUP(O2,C94:V95,C102:V102)</f>
        <v>#N/A</v>
      </c>
      <c r="P51" t="e">
        <f>LOOKUP(P2,C94:V95,C102:V102)</f>
        <v>#N/A</v>
      </c>
      <c r="Q51" t="e">
        <f>LOOKUP(Q2,C94:V95,C102:V102)</f>
        <v>#N/A</v>
      </c>
    </row>
    <row r="52" spans="1:17">
      <c r="A52" s="153" t="str">
        <f t="shared" si="0"/>
        <v>e13</v>
      </c>
      <c r="B52">
        <f ca="1">LOOKUP(B2,C94:V95,C104:V104)</f>
        <v>-612</v>
      </c>
      <c r="C52">
        <f ca="1">LOOKUP(C2,C94:V95,C104:V104)</f>
        <v>-715</v>
      </c>
      <c r="D52">
        <f ca="1">LOOKUP(D2,C94:V95,C104:V104)</f>
        <v>-715</v>
      </c>
      <c r="E52">
        <f ca="1">LOOKUP(E2,C94:V95,C104:V104)</f>
        <v>-715</v>
      </c>
      <c r="F52">
        <f ca="1">LOOKUP(F2,C94:V95,C104:V104)</f>
        <v>-715</v>
      </c>
      <c r="G52">
        <f ca="1">LOOKUP(G2,C94:V95,C104:V104)</f>
        <v>-612</v>
      </c>
      <c r="H52">
        <f ca="1">LOOKUP(H2,C94:V95,C104:V104)</f>
        <v>-520</v>
      </c>
      <c r="I52">
        <f ca="1">LOOKUP(I2,C94:V95,C104:V104)</f>
        <v>-520</v>
      </c>
      <c r="J52">
        <f ca="1">LOOKUP(J2,C94:V95,C104:V104)</f>
        <v>-440</v>
      </c>
      <c r="K52">
        <f ca="1">LOOKUP(K2,C94:V95,C104:V104)</f>
        <v>-520</v>
      </c>
      <c r="L52">
        <f ca="1">LOOKUP(L2,C94:V95,C104:V104)</f>
        <v>-370</v>
      </c>
      <c r="M52" t="e">
        <f>LOOKUP(M2,C94:V95,C104:V104)</f>
        <v>#N/A</v>
      </c>
      <c r="N52" t="e">
        <f>LOOKUP(N2,C94:V95,C104:V104)</f>
        <v>#N/A</v>
      </c>
      <c r="O52" t="e">
        <f>LOOKUP(O2,C94:V95,C104:V104)</f>
        <v>#N/A</v>
      </c>
      <c r="P52" t="e">
        <f>LOOKUP(P2,C94:V95,C104:V104)</f>
        <v>#N/A</v>
      </c>
      <c r="Q52" t="e">
        <f>LOOKUP(Q2,C94:V95,C104:V104)</f>
        <v>#N/A</v>
      </c>
    </row>
    <row r="53" spans="1:17">
      <c r="A53" s="153" t="str">
        <f t="shared" si="0"/>
        <v>f5</v>
      </c>
      <c r="B53">
        <f ca="1">LOOKUP(B2,C94:V95,C106:V106)</f>
        <v>-51</v>
      </c>
      <c r="C53">
        <f ca="1">LOOKUP(C2,C94:V95,C106:V106)</f>
        <v>-61</v>
      </c>
      <c r="D53">
        <f ca="1">LOOKUP(D2,C94:V95,C106:V106)</f>
        <v>-61</v>
      </c>
      <c r="E53">
        <f ca="1">LOOKUP(E2,C94:V95,C106:V106)</f>
        <v>-61</v>
      </c>
      <c r="F53">
        <f ca="1">LOOKUP(F2,C94:V95,C106:V106)</f>
        <v>-61</v>
      </c>
      <c r="G53">
        <f ca="1">LOOKUP(G2,C94:V95,C106:V106)</f>
        <v>-51</v>
      </c>
      <c r="H53">
        <f ca="1">LOOKUP(H2,C94:V95,C106:V106)</f>
        <v>-43</v>
      </c>
      <c r="I53">
        <f ca="1">LOOKUP(I2,C94:V95,C106:V106)</f>
        <v>-43</v>
      </c>
      <c r="J53">
        <f ca="1">LOOKUP(J2,C94:V95,C106:V106)</f>
        <v>-36</v>
      </c>
      <c r="K53">
        <f ca="1">LOOKUP(K2,C94:V95,C106:V106)</f>
        <v>-43</v>
      </c>
      <c r="L53">
        <f ca="1">LOOKUP(L2,C94:V95,C106:V106)</f>
        <v>-29</v>
      </c>
      <c r="M53" t="e">
        <f>LOOKUP(M2,C94:V95,C106:V106)</f>
        <v>#N/A</v>
      </c>
      <c r="N53" t="e">
        <f>LOOKUP(N2,C94:V95,C106:V106)</f>
        <v>#N/A</v>
      </c>
      <c r="O53" t="e">
        <f>LOOKUP(O2,C94:V95,C106:V106)</f>
        <v>#N/A</v>
      </c>
      <c r="P53" t="e">
        <f>LOOKUP(P2,C94:V95,C106:V106)</f>
        <v>#N/A</v>
      </c>
      <c r="Q53" t="e">
        <f>LOOKUP(Q2,C94:V95,C106:V106)</f>
        <v>#N/A</v>
      </c>
    </row>
    <row r="54" spans="1:17">
      <c r="A54" s="153" t="str">
        <f t="shared" si="0"/>
        <v>f6</v>
      </c>
      <c r="B54">
        <f ca="1">LOOKUP(B2,C94:V95,C108:V108)</f>
        <v>-58</v>
      </c>
      <c r="C54">
        <f ca="1">LOOKUP(C2,C94:V95,C108:V108)</f>
        <v>-68</v>
      </c>
      <c r="D54">
        <f ca="1">LOOKUP(D2,C94:V95,C108:V108)</f>
        <v>-68</v>
      </c>
      <c r="E54">
        <f ca="1">LOOKUP(E2,C94:V95,C108:V108)</f>
        <v>-68</v>
      </c>
      <c r="F54">
        <f ca="1">LOOKUP(F2,C94:V95,C108:V108)</f>
        <v>-68</v>
      </c>
      <c r="G54">
        <f ca="1">LOOKUP(G2,C94:V95,C108:V108)</f>
        <v>-58</v>
      </c>
      <c r="H54">
        <f ca="1">LOOKUP(H2,C94:V95,C108:V108)</f>
        <v>-49</v>
      </c>
      <c r="I54">
        <f ca="1">LOOKUP(I2,C94:V95,C108:V108)</f>
        <v>-49</v>
      </c>
      <c r="J54">
        <f ca="1">LOOKUP(J2,C94:V95,C108:V108)</f>
        <v>-41</v>
      </c>
      <c r="K54">
        <f ca="1">LOOKUP(K2,C94:V95,C108:V108)</f>
        <v>-49</v>
      </c>
      <c r="L54">
        <f ca="1">LOOKUP(L2,C94:V95,C108:V108)</f>
        <v>-33</v>
      </c>
      <c r="M54" t="e">
        <f>LOOKUP(M2,C94:V95,C108:V108)</f>
        <v>#N/A</v>
      </c>
      <c r="N54" t="e">
        <f>LOOKUP(N2,C94:V95,C108:V108)</f>
        <v>#N/A</v>
      </c>
      <c r="O54" t="e">
        <f>LOOKUP(O2,C94:V95,C108:V108)</f>
        <v>#N/A</v>
      </c>
      <c r="P54" t="e">
        <f>LOOKUP(P2,C94:V95,C108:V108)</f>
        <v>#N/A</v>
      </c>
      <c r="Q54" t="e">
        <f>LOOKUP(Q2,C94:V95,C108:V108)</f>
        <v>#N/A</v>
      </c>
    </row>
    <row r="55" spans="1:17">
      <c r="A55" s="153" t="str">
        <f t="shared" si="0"/>
        <v>f7</v>
      </c>
      <c r="B55">
        <f ca="1">LOOKUP(B2,C94:V95,C110:V110)</f>
        <v>-71</v>
      </c>
      <c r="C55">
        <f ca="1">LOOKUP(C2,C94:V95,C110:V110)</f>
        <v>-83</v>
      </c>
      <c r="D55">
        <f ca="1">LOOKUP(D2,C94:V95,C110:V110)</f>
        <v>-83</v>
      </c>
      <c r="E55">
        <f ca="1">LOOKUP(E2,C94:V95,C110:V110)</f>
        <v>-83</v>
      </c>
      <c r="F55">
        <f ca="1">LOOKUP(F2,C94:V95,C110:V110)</f>
        <v>-83</v>
      </c>
      <c r="G55">
        <f ca="1">LOOKUP(G2,C94:V95,C110:V110)</f>
        <v>-71</v>
      </c>
      <c r="H55">
        <f ca="1">LOOKUP(H2,C94:V95,C110:V110)</f>
        <v>-60</v>
      </c>
      <c r="I55">
        <f ca="1">LOOKUP(I2,C94:V95,C110:V110)</f>
        <v>-60</v>
      </c>
      <c r="J55">
        <f ca="1">LOOKUP(J2,C94:V95,C110:V110)</f>
        <v>-50</v>
      </c>
      <c r="K55">
        <f ca="1">LOOKUP(K2,C94:V95,C110:V110)</f>
        <v>-60</v>
      </c>
      <c r="L55">
        <f ca="1">LOOKUP(L2,C94:V95,C110:V110)</f>
        <v>-41</v>
      </c>
      <c r="M55" t="e">
        <f>LOOKUP(M2,C94:V95,C110:V110)</f>
        <v>#N/A</v>
      </c>
      <c r="N55" t="e">
        <f>LOOKUP(N2,C94:V95,C110:V110)</f>
        <v>#N/A</v>
      </c>
      <c r="O55" t="e">
        <f>LOOKUP(O2,C94:V95,C110:V110)</f>
        <v>#N/A</v>
      </c>
      <c r="P55" t="e">
        <f>LOOKUP(P2,C94:V95,C110:V110)</f>
        <v>#N/A</v>
      </c>
      <c r="Q55" t="e">
        <f>LOOKUP(Q2,C94:V95,C110:V110)</f>
        <v>#N/A</v>
      </c>
    </row>
    <row r="56" spans="1:17">
      <c r="A56" s="153" t="str">
        <f t="shared" si="0"/>
        <v>g5</v>
      </c>
      <c r="B56">
        <f ca="1">LOOKUP(B2,C94:V95,C112:V112)</f>
        <v>-27</v>
      </c>
      <c r="C56">
        <f ca="1">LOOKUP(C2,C94:V95,C112:V112)</f>
        <v>-32</v>
      </c>
      <c r="D56">
        <f ca="1">LOOKUP(D2,C94:V95,C112:V112)</f>
        <v>-32</v>
      </c>
      <c r="E56">
        <f ca="1">LOOKUP(E2,C94:V95,C112:V112)</f>
        <v>-32</v>
      </c>
      <c r="F56">
        <f ca="1">LOOKUP(F2,C94:V95,C112:V112)</f>
        <v>-32</v>
      </c>
      <c r="G56">
        <f ca="1">LOOKUP(G2,C94:V95,C112:V112)</f>
        <v>-27</v>
      </c>
      <c r="H56">
        <f ca="1">LOOKUP(H2,C94:V95,C112:V112)</f>
        <v>-23</v>
      </c>
      <c r="I56">
        <f ca="1">LOOKUP(I2,C94:V95,C112:V112)</f>
        <v>-23</v>
      </c>
      <c r="J56">
        <f ca="1">LOOKUP(J2,C94:V95,C112:V112)</f>
        <v>-20</v>
      </c>
      <c r="K56">
        <f ca="1">LOOKUP(K2,C94:V95,C112:V112)</f>
        <v>-23</v>
      </c>
      <c r="L56">
        <f ca="1">LOOKUP(L2,C94:V95,C112:V112)</f>
        <v>-16</v>
      </c>
      <c r="M56" t="e">
        <f>LOOKUP(M2,C94:V95,C112:V112)</f>
        <v>#N/A</v>
      </c>
      <c r="N56" t="e">
        <f>LOOKUP(N2,C94:V95,C112:V112)</f>
        <v>#N/A</v>
      </c>
      <c r="O56" t="e">
        <f>LOOKUP(O2,C94:V95,C112:V112)</f>
        <v>#N/A</v>
      </c>
      <c r="P56" t="e">
        <f>LOOKUP(P2,C94:V95,C112:V112)</f>
        <v>#N/A</v>
      </c>
      <c r="Q56" t="e">
        <f>LOOKUP(Q2,C94:V95,C112:V112)</f>
        <v>#N/A</v>
      </c>
    </row>
    <row r="57" spans="1:17">
      <c r="A57" s="153" t="str">
        <f t="shared" si="0"/>
        <v>g6</v>
      </c>
      <c r="B57">
        <f ca="1">LOOKUP(B2,C94:V95,C114:V114)</f>
        <v>-34</v>
      </c>
      <c r="C57">
        <f ca="1">LOOKUP(C2,C94:V95,C114:V114)</f>
        <v>-39</v>
      </c>
      <c r="D57">
        <f ca="1">LOOKUP(D2,C94:V95,C114:V114)</f>
        <v>-39</v>
      </c>
      <c r="E57">
        <f ca="1">LOOKUP(E2,C94:V95,C114:V114)</f>
        <v>-39</v>
      </c>
      <c r="F57">
        <f ca="1">LOOKUP(F2,C94:V95,C114:V114)</f>
        <v>-39</v>
      </c>
      <c r="G57">
        <f ca="1">LOOKUP(G2,C94:V95,C114:V114)</f>
        <v>-34</v>
      </c>
      <c r="H57">
        <f ca="1">LOOKUP(H2,C94:V95,C114:V114)</f>
        <v>-29</v>
      </c>
      <c r="I57">
        <f ca="1">LOOKUP(I2,C94:V95,C114:V114)</f>
        <v>-29</v>
      </c>
      <c r="J57">
        <f ca="1">LOOKUP(J2,C94:V95,C114:V114)</f>
        <v>-25</v>
      </c>
      <c r="K57">
        <f ca="1">LOOKUP(K2,C94:V95,C114:V114)</f>
        <v>-29</v>
      </c>
      <c r="L57">
        <f ca="1">LOOKUP(L2,C94:V95,C114:V114)</f>
        <v>-20</v>
      </c>
      <c r="M57" t="e">
        <f>LOOKUP(M2,C94:V95,C114:V114)</f>
        <v>#N/A</v>
      </c>
      <c r="N57" t="e">
        <f>LOOKUP(N2,C94:V95,C114:V114)</f>
        <v>#N/A</v>
      </c>
      <c r="O57" t="e">
        <f>LOOKUP(O2,C94:V95,C114:V114)</f>
        <v>#N/A</v>
      </c>
      <c r="P57" t="e">
        <f>LOOKUP(P2,C94:V95,C114:V114)</f>
        <v>#N/A</v>
      </c>
      <c r="Q57" t="e">
        <f>LOOKUP(Q2,C94:V95,C114:V114)</f>
        <v>#N/A</v>
      </c>
    </row>
    <row r="58" spans="1:17">
      <c r="A58" s="153" t="str">
        <f t="shared" si="0"/>
        <v>g7</v>
      </c>
      <c r="B58">
        <f ca="1">LOOKUP(B2,C94:V95,C116:V116)</f>
        <v>-47</v>
      </c>
      <c r="C58">
        <f ca="1">LOOKUP(C2,C94:V95,C116:V116)</f>
        <v>-54</v>
      </c>
      <c r="D58">
        <f ca="1">LOOKUP(D2,C94:V95,C116:V116)</f>
        <v>-54</v>
      </c>
      <c r="E58">
        <f ca="1">LOOKUP(E2,C94:V95,C116:V116)</f>
        <v>-54</v>
      </c>
      <c r="F58">
        <f ca="1">LOOKUP(F2,C94:V95,C116:V116)</f>
        <v>-54</v>
      </c>
      <c r="G58">
        <f ca="1">LOOKUP(G2,C94:V95,C116:V116)</f>
        <v>-47</v>
      </c>
      <c r="H58">
        <f ca="1">LOOKUP(H2,C94:V95,C116:V116)</f>
        <v>-40</v>
      </c>
      <c r="I58">
        <f ca="1">LOOKUP(I2,C94:V95,C116:V116)</f>
        <v>-40</v>
      </c>
      <c r="J58">
        <f ca="1">LOOKUP(J2,C94:V95,C116:V116)</f>
        <v>-34</v>
      </c>
      <c r="K58">
        <f ca="1">LOOKUP(K2,C94:V95,C116:V116)</f>
        <v>-40</v>
      </c>
      <c r="L58">
        <f ca="1">LOOKUP(L2,C94:V95,C116:V116)</f>
        <v>-28</v>
      </c>
      <c r="M58" t="e">
        <f>LOOKUP(M2,C94:V95,C116:V116)</f>
        <v>#N/A</v>
      </c>
      <c r="N58" t="e">
        <f>LOOKUP(N2,C94:V95,C116:V116)</f>
        <v>#N/A</v>
      </c>
      <c r="O58" t="e">
        <f>LOOKUP(O2,C94:V95,C116:V116)</f>
        <v>#N/A</v>
      </c>
      <c r="P58" t="e">
        <f>LOOKUP(P2,C94:V95,C116:V116)</f>
        <v>#N/A</v>
      </c>
      <c r="Q58" t="e">
        <f>LOOKUP(Q2,C94:V95,C116:V116)</f>
        <v>#N/A</v>
      </c>
    </row>
    <row r="59" spans="1:17">
      <c r="A59" s="153" t="str">
        <f t="shared" si="0"/>
        <v>h4</v>
      </c>
      <c r="B59">
        <f ca="1">LOOKUP(B2,C94:V95,C118:V118)</f>
        <v>-10</v>
      </c>
      <c r="C59">
        <f ca="1">LOOKUP(C2,C94:V95,C118:V118)</f>
        <v>-12</v>
      </c>
      <c r="D59">
        <f ca="1">LOOKUP(D2,C94:V95,C118:V118)</f>
        <v>-12</v>
      </c>
      <c r="E59">
        <f ca="1">LOOKUP(E2,C94:V95,C118:V118)</f>
        <v>-12</v>
      </c>
      <c r="F59">
        <f ca="1">LOOKUP(F2,C94:V95,C118:V118)</f>
        <v>-12</v>
      </c>
      <c r="G59">
        <f ca="1">LOOKUP(G2,C94:V95,C118:V118)</f>
        <v>-10</v>
      </c>
      <c r="H59">
        <f ca="1">LOOKUP(H2,C94:V95,C118:V118)</f>
        <v>-8</v>
      </c>
      <c r="I59">
        <f ca="1">LOOKUP(I2,C94:V95,C118:V118)</f>
        <v>-8</v>
      </c>
      <c r="J59">
        <f ca="1">LOOKUP(J2,C94:V95,C118:V118)</f>
        <v>-7</v>
      </c>
      <c r="K59">
        <f ca="1">LOOKUP(K2,C94:V95,C118:V118)</f>
        <v>-8</v>
      </c>
      <c r="L59">
        <f ca="1">LOOKUP(L2,C94:V95,C118:V118)</f>
        <v>-6</v>
      </c>
      <c r="M59" t="e">
        <f>LOOKUP(M2,C94:V95,C118:V118)</f>
        <v>#N/A</v>
      </c>
      <c r="N59" t="e">
        <f>LOOKUP(N2,C94:V95,C118:V118)</f>
        <v>#N/A</v>
      </c>
      <c r="O59" t="e">
        <f>LOOKUP(O2,C94:V95,C118:V118)</f>
        <v>#N/A</v>
      </c>
      <c r="P59" t="e">
        <f>LOOKUP(P2,C94:V95,C118:V118)</f>
        <v>#N/A</v>
      </c>
      <c r="Q59" t="e">
        <f>LOOKUP(Q2,C94:V95,C118:V118)</f>
        <v>#N/A</v>
      </c>
    </row>
    <row r="60" spans="1:17">
      <c r="A60" s="153" t="str">
        <f t="shared" si="0"/>
        <v>h5</v>
      </c>
      <c r="B60">
        <f ca="1">LOOKUP(B2,C94:V95,C120:V120)</f>
        <v>-15</v>
      </c>
      <c r="C60">
        <f ca="1">LOOKUP(C2,C94:V95,C120:V120)</f>
        <v>-18</v>
      </c>
      <c r="D60">
        <f ca="1">LOOKUP(D2,C94:V95,C120:V120)</f>
        <v>-18</v>
      </c>
      <c r="E60">
        <f ca="1">LOOKUP(E2,C94:V95,C120:V120)</f>
        <v>-18</v>
      </c>
      <c r="F60">
        <f ca="1">LOOKUP(F2,C94:V95,C120:V120)</f>
        <v>-18</v>
      </c>
      <c r="G60">
        <f ca="1">LOOKUP(G2,C94:V95,C120:V120)</f>
        <v>-15</v>
      </c>
      <c r="H60">
        <f ca="1">LOOKUP(H2,C94:V95,C120:V120)</f>
        <v>-13</v>
      </c>
      <c r="I60">
        <f ca="1">LOOKUP(I2,C94:V95,C120:V120)</f>
        <v>-13</v>
      </c>
      <c r="J60">
        <f ca="1">LOOKUP(J2,C94:V95,C120:V120)</f>
        <v>-11</v>
      </c>
      <c r="K60">
        <f ca="1">LOOKUP(K2,C94:V95,C120:V120)</f>
        <v>-13</v>
      </c>
      <c r="L60">
        <f ca="1">LOOKUP(L2,C94:V95,C120:V120)</f>
        <v>-9</v>
      </c>
      <c r="M60" t="e">
        <f>LOOKUP(M2,C94:V95,C120:V120)</f>
        <v>#N/A</v>
      </c>
      <c r="N60" t="e">
        <f>LOOKUP(N2,C94:V95,C120:V120)</f>
        <v>#N/A</v>
      </c>
      <c r="O60" t="e">
        <f>LOOKUP(O2,C94:V95,C120:V120)</f>
        <v>#N/A</v>
      </c>
      <c r="P60" t="e">
        <f>LOOKUP(P2,C94:V95,C120:V120)</f>
        <v>#N/A</v>
      </c>
      <c r="Q60" t="e">
        <f>LOOKUP(Q2,C94:V95,C120:V120)</f>
        <v>#N/A</v>
      </c>
    </row>
    <row r="61" spans="1:17">
      <c r="A61" s="153" t="str">
        <f t="shared" si="0"/>
        <v>h6</v>
      </c>
      <c r="B61">
        <f ca="1">LOOKUP(B2,C94:V95,C122:V122)</f>
        <v>-22</v>
      </c>
      <c r="C61">
        <f ca="1">LOOKUP(C2,C94:V95,C122:V122)</f>
        <v>-25</v>
      </c>
      <c r="D61">
        <f ca="1">LOOKUP(D2,C94:V95,C122:V122)</f>
        <v>-25</v>
      </c>
      <c r="E61">
        <f ca="1">LOOKUP(E2,C94:V95,C122:V122)</f>
        <v>-25</v>
      </c>
      <c r="F61">
        <f ca="1">LOOKUP(F2,C94:V95,C122:V122)</f>
        <v>-25</v>
      </c>
      <c r="G61">
        <f ca="1">LOOKUP(G2,C94:V95,C122:V122)</f>
        <v>-22</v>
      </c>
      <c r="H61">
        <f ca="1">LOOKUP(H2,C94:V95,C122:V122)</f>
        <v>-19</v>
      </c>
      <c r="I61">
        <f ca="1">LOOKUP(I2,C94:V95,C122:V122)</f>
        <v>-19</v>
      </c>
      <c r="J61">
        <f ca="1">LOOKUP(J2,C94:V95,C122:V122)</f>
        <v>-16</v>
      </c>
      <c r="K61">
        <f ca="1">LOOKUP(K2,C94:V95,C122:V122)</f>
        <v>-19</v>
      </c>
      <c r="L61">
        <f ca="1">LOOKUP(L2,C94:V95,C122:V122)</f>
        <v>-13</v>
      </c>
      <c r="M61" t="e">
        <f>LOOKUP(M2,C94:V95,C122:V122)</f>
        <v>#N/A</v>
      </c>
      <c r="N61" t="e">
        <f>LOOKUP(N2,C94:V95,C122:V122)</f>
        <v>#N/A</v>
      </c>
      <c r="O61" t="e">
        <f>LOOKUP(O2,C94:V95,C122:V122)</f>
        <v>#N/A</v>
      </c>
      <c r="P61" t="e">
        <f>LOOKUP(P2,C94:V95,C122:V122)</f>
        <v>#N/A</v>
      </c>
      <c r="Q61" t="e">
        <f>LOOKUP(Q2,C94:V95,C122:V122)</f>
        <v>#N/A</v>
      </c>
    </row>
    <row r="62" spans="1:17">
      <c r="A62" s="153" t="str">
        <f t="shared" si="0"/>
        <v>h7</v>
      </c>
      <c r="B62">
        <f ca="1">LOOKUP(B2,C94:V95,C124:V124)</f>
        <v>-35</v>
      </c>
      <c r="C62">
        <f ca="1">LOOKUP(C2,C94:V95,C124:V124)</f>
        <v>-40</v>
      </c>
      <c r="D62">
        <f ca="1">LOOKUP(D2,C94:V95,C124:V124)</f>
        <v>-40</v>
      </c>
      <c r="E62">
        <f ca="1">LOOKUP(E2,C94:V95,C124:V124)</f>
        <v>-40</v>
      </c>
      <c r="F62">
        <f ca="1">LOOKUP(F2,C94:V95,C124:V124)</f>
        <v>-40</v>
      </c>
      <c r="G62">
        <f ca="1">LOOKUP(G2,C94:V95,C124:V124)</f>
        <v>-35</v>
      </c>
      <c r="H62">
        <f ca="1">LOOKUP(H2,C94:V95,C124:V124)</f>
        <v>-30</v>
      </c>
      <c r="I62">
        <f ca="1">LOOKUP(I2,C94:V95,C124:V124)</f>
        <v>-30</v>
      </c>
      <c r="J62">
        <f ca="1">LOOKUP(J2,C94:V95,C124:V124)</f>
        <v>-25</v>
      </c>
      <c r="K62">
        <f ca="1">LOOKUP(K2,C94:V95,C124:V124)</f>
        <v>-30</v>
      </c>
      <c r="L62">
        <f ca="1">LOOKUP(L2,C94:V95,C124:V124)</f>
        <v>-21</v>
      </c>
      <c r="M62" t="e">
        <f>LOOKUP(M2,C94:V95,C124:V124)</f>
        <v>#N/A</v>
      </c>
      <c r="N62" t="e">
        <f>LOOKUP(N2,C94:V95,C124:V124)</f>
        <v>#N/A</v>
      </c>
      <c r="O62" t="e">
        <f>LOOKUP(O2,C94:V95,C124:V124)</f>
        <v>#N/A</v>
      </c>
      <c r="P62" t="e">
        <f>LOOKUP(P2,C94:V95,C124:V124)</f>
        <v>#N/A</v>
      </c>
      <c r="Q62" t="e">
        <f>LOOKUP(Q2,C94:V95,C124:V124)</f>
        <v>#N/A</v>
      </c>
    </row>
    <row r="63" spans="1:17">
      <c r="A63" s="153" t="str">
        <f t="shared" si="0"/>
        <v>h8</v>
      </c>
      <c r="B63">
        <f ca="1">LOOKUP(B2,C94:V95,C126:V126)</f>
        <v>-54</v>
      </c>
      <c r="C63">
        <f ca="1">LOOKUP(C2,C94:V95,C126:V126)</f>
        <v>-63</v>
      </c>
      <c r="D63">
        <f ca="1">LOOKUP(D2,C94:V95,C126:V126)</f>
        <v>-63</v>
      </c>
      <c r="E63">
        <f ca="1">LOOKUP(E2,C94:V95,C126:V126)</f>
        <v>-63</v>
      </c>
      <c r="F63">
        <f ca="1">LOOKUP(F2,C94:V95,C126:V126)</f>
        <v>-63</v>
      </c>
      <c r="G63">
        <f ca="1">LOOKUP(G2,C94:V95,C126:V126)</f>
        <v>-54</v>
      </c>
      <c r="H63">
        <f ca="1">LOOKUP(H2,C94:V95,C126:V126)</f>
        <v>-46</v>
      </c>
      <c r="I63">
        <f ca="1">LOOKUP(I2,C94:V95,C126:V126)</f>
        <v>-46</v>
      </c>
      <c r="J63">
        <f ca="1">LOOKUP(J2,C94:V95,C126:V126)</f>
        <v>-39</v>
      </c>
      <c r="K63">
        <f ca="1">LOOKUP(K2,C94:V95,C126:V126)</f>
        <v>-46</v>
      </c>
      <c r="L63">
        <f ca="1">LOOKUP(L2,C94:V95,C126:V126)</f>
        <v>-33</v>
      </c>
      <c r="M63" t="e">
        <f>LOOKUP(M2,C94:V95,C126:V126)</f>
        <v>#N/A</v>
      </c>
      <c r="N63" t="e">
        <f>LOOKUP(N2,C94:V95,C126:V126)</f>
        <v>#N/A</v>
      </c>
      <c r="O63" t="e">
        <f>LOOKUP(O2,C94:V95,C126:V126)</f>
        <v>#N/A</v>
      </c>
      <c r="P63" t="e">
        <f>LOOKUP(P2,C94:V95,C126:V126)</f>
        <v>#N/A</v>
      </c>
      <c r="Q63" t="e">
        <f>LOOKUP(Q2,C94:V95,C126:V126)</f>
        <v>#N/A</v>
      </c>
    </row>
    <row r="64" spans="1:17">
      <c r="A64" s="153" t="str">
        <f t="shared" si="0"/>
        <v>h9</v>
      </c>
      <c r="B64">
        <f ca="1">LOOKUP(B2,C94:V95,C128:V128)</f>
        <v>-87</v>
      </c>
      <c r="C64">
        <f ca="1">LOOKUP(C2,C94:V95,C128:V128)</f>
        <v>-100</v>
      </c>
      <c r="D64">
        <f ca="1">LOOKUP(D2,C94:V95,C128:V128)</f>
        <v>-100</v>
      </c>
      <c r="E64">
        <f ca="1">LOOKUP(E2,C94:V95,C128:V128)</f>
        <v>-100</v>
      </c>
      <c r="F64">
        <f ca="1">LOOKUP(F2,C94:V95,C128:V128)</f>
        <v>-100</v>
      </c>
      <c r="G64">
        <f ca="1">LOOKUP(G2,C94:V95,C128:V128)</f>
        <v>-87</v>
      </c>
      <c r="H64">
        <f ca="1">LOOKUP(H2,C94:V95,C128:V128)</f>
        <v>-74</v>
      </c>
      <c r="I64">
        <f ca="1">LOOKUP(I2,C94:V95,C128:V128)</f>
        <v>-74</v>
      </c>
      <c r="J64">
        <f ca="1">LOOKUP(J2,C94:V95,C128:V128)</f>
        <v>-62</v>
      </c>
      <c r="K64">
        <f ca="1">LOOKUP(K2,C94:V95,C128:V128)</f>
        <v>-74</v>
      </c>
      <c r="L64">
        <f ca="1">LOOKUP(L2,C94:V95,C128:V128)</f>
        <v>-52</v>
      </c>
      <c r="M64" t="e">
        <f>LOOKUP(M2,C94:V95,C128:V128)</f>
        <v>#N/A</v>
      </c>
      <c r="N64" t="e">
        <f>LOOKUP(N2,C94:V95,C128:V128)</f>
        <v>#N/A</v>
      </c>
      <c r="O64" t="e">
        <f>LOOKUP(O2,C94:V95,C128:V128)</f>
        <v>#N/A</v>
      </c>
      <c r="P64" t="e">
        <f>LOOKUP(P2,C94:V95,C128:V128)</f>
        <v>#N/A</v>
      </c>
      <c r="Q64" t="e">
        <f>LOOKUP(Q2,C94:V95,C128:V128)</f>
        <v>#N/A</v>
      </c>
    </row>
    <row r="65" spans="1:17">
      <c r="A65" s="153" t="str">
        <f t="shared" si="0"/>
        <v>h10</v>
      </c>
      <c r="B65">
        <f ca="1">LOOKUP(B2,C94:V95,C130:V130)</f>
        <v>-140</v>
      </c>
      <c r="C65">
        <f ca="1">LOOKUP(C2,C94:V95,C130:V130)</f>
        <v>-160</v>
      </c>
      <c r="D65">
        <f ca="1">LOOKUP(D2,C94:V95,C130:V130)</f>
        <v>-160</v>
      </c>
      <c r="E65">
        <f ca="1">LOOKUP(E2,C94:V95,C130:V130)</f>
        <v>-160</v>
      </c>
      <c r="F65">
        <f ca="1">LOOKUP(F2,C94:V95,C130:V130)</f>
        <v>-160</v>
      </c>
      <c r="G65">
        <f ca="1">LOOKUP(G2,C94:V95,C130:V130)</f>
        <v>-140</v>
      </c>
      <c r="H65">
        <f ca="1">LOOKUP(H2,C94:V95,C130:V130)</f>
        <v>-120</v>
      </c>
      <c r="I65">
        <f ca="1">LOOKUP(I2,C94:V95,C130:V130)</f>
        <v>-120</v>
      </c>
      <c r="J65">
        <f ca="1">LOOKUP(J2,C94:V95,C130:V130)</f>
        <v>-100</v>
      </c>
      <c r="K65">
        <f ca="1">LOOKUP(K2,C94:V95,C130:V130)</f>
        <v>-120</v>
      </c>
      <c r="L65">
        <f ca="1">LOOKUP(L2,C94:V95,C130:V130)</f>
        <v>-84</v>
      </c>
      <c r="M65" t="e">
        <f>LOOKUP(M2,C94:V95,C130:V130)</f>
        <v>#N/A</v>
      </c>
      <c r="N65" t="e">
        <f>LOOKUP(N2,C94:V95,C130:V130)</f>
        <v>#N/A</v>
      </c>
      <c r="O65" t="e">
        <f>LOOKUP(O2,C94:V95,C130:V130)</f>
        <v>#N/A</v>
      </c>
      <c r="P65" t="e">
        <f>LOOKUP(P2,C94:V95,C130:V130)</f>
        <v>#N/A</v>
      </c>
      <c r="Q65" t="e">
        <f>LOOKUP(Q2,C94:V95,C130:V130)</f>
        <v>#N/A</v>
      </c>
    </row>
    <row r="66" spans="1:17">
      <c r="A66" s="153" t="str">
        <f t="shared" si="0"/>
        <v>h11</v>
      </c>
      <c r="B66">
        <f ca="1">LOOKUP(B2,C94:V95,C132:V132)</f>
        <v>-220</v>
      </c>
      <c r="C66">
        <f ca="1">LOOKUP(C2,C94:V95,C132:V132)</f>
        <v>-250</v>
      </c>
      <c r="D66">
        <f ca="1">LOOKUP(D2,C94:V95,C132:V132)</f>
        <v>-250</v>
      </c>
      <c r="E66">
        <f ca="1">LOOKUP(E2,C94:V95,C132:V132)</f>
        <v>-250</v>
      </c>
      <c r="F66">
        <f ca="1">LOOKUP(F2,C94:V95,C132:V132)</f>
        <v>-250</v>
      </c>
      <c r="G66">
        <f ca="1">LOOKUP(G2,C94:V95,C132:V132)</f>
        <v>-220</v>
      </c>
      <c r="H66">
        <f ca="1">LOOKUP(H2,C94:V95,C132:V132)</f>
        <v>-190</v>
      </c>
      <c r="I66">
        <f ca="1">LOOKUP(I2,C94:V95,C132:V132)</f>
        <v>-190</v>
      </c>
      <c r="J66">
        <f ca="1">LOOKUP(J2,C94:V95,C132:V132)</f>
        <v>-160</v>
      </c>
      <c r="K66">
        <f ca="1">LOOKUP(K2,C94:V95,C132:V132)</f>
        <v>-190</v>
      </c>
      <c r="L66">
        <f ca="1">LOOKUP(L2,C94:V95,C132:V132)</f>
        <v>-130</v>
      </c>
      <c r="M66" t="e">
        <f>LOOKUP(M2,C94:V95,C132:V132)</f>
        <v>#N/A</v>
      </c>
      <c r="N66" t="e">
        <f>LOOKUP(N2,C94:V95,C132:V132)</f>
        <v>#N/A</v>
      </c>
      <c r="O66" t="e">
        <f>LOOKUP(O2,C94:V95,C132:V132)</f>
        <v>#N/A</v>
      </c>
      <c r="P66" t="e">
        <f>LOOKUP(P2,C94:V95,C132:V132)</f>
        <v>#N/A</v>
      </c>
      <c r="Q66" t="e">
        <f>LOOKUP(Q2,C94:V95,C132:V132)</f>
        <v>#N/A</v>
      </c>
    </row>
    <row r="67" spans="1:17">
      <c r="A67" s="153" t="str">
        <f t="shared" si="0"/>
        <v>h12</v>
      </c>
      <c r="B67">
        <f ca="1">LOOKUP(B2,C94:V95,C134:V134)</f>
        <v>-350</v>
      </c>
      <c r="C67">
        <f ca="1">LOOKUP(C2,C94:V95,C134:V134)</f>
        <v>-400</v>
      </c>
      <c r="D67">
        <f ca="1">LOOKUP(D2,C94:V95,C134:V134)</f>
        <v>-400</v>
      </c>
      <c r="E67">
        <f ca="1">LOOKUP(E2,C94:V95,C134:V134)</f>
        <v>-400</v>
      </c>
      <c r="F67">
        <f ca="1">LOOKUP(F2,C94:V95,C134:V134)</f>
        <v>-400</v>
      </c>
      <c r="G67">
        <f ca="1">LOOKUP(G2,C94:V95,C134:V134)</f>
        <v>-350</v>
      </c>
      <c r="H67">
        <f ca="1">LOOKUP(H2,C94:V95,C134:V134)</f>
        <v>-300</v>
      </c>
      <c r="I67">
        <f ca="1">LOOKUP(I2,C94:V95,C134:V134)</f>
        <v>-300</v>
      </c>
      <c r="J67">
        <f ca="1">LOOKUP(J2,C94:V95,C134:V134)</f>
        <v>-250</v>
      </c>
      <c r="K67">
        <f ca="1">LOOKUP(K2,C94:V95,C134:V134)</f>
        <v>-300</v>
      </c>
      <c r="L67">
        <f ca="1">LOOKUP(L2,C94:V95,C134:V134)</f>
        <v>-210</v>
      </c>
      <c r="M67" t="e">
        <f>LOOKUP(M2,C94:V95,C134:V134)</f>
        <v>#N/A</v>
      </c>
      <c r="N67" t="e">
        <f>LOOKUP(N2,C94:V95,C134:V134)</f>
        <v>#N/A</v>
      </c>
      <c r="O67" t="e">
        <f>LOOKUP(O2,C94:V95,C134:V134)</f>
        <v>#N/A</v>
      </c>
      <c r="P67" t="e">
        <f>LOOKUP(P2,C94:V95,C134:V134)</f>
        <v>#N/A</v>
      </c>
      <c r="Q67" t="e">
        <f>LOOKUP(Q2,C94:V95,C134:V134)</f>
        <v>#N/A</v>
      </c>
    </row>
    <row r="68" spans="1:17">
      <c r="A68" s="153" t="str">
        <f t="shared" si="0"/>
        <v>j5</v>
      </c>
      <c r="B68">
        <f ca="1">LOOKUP(B2,C94:V95,C136:V136)</f>
        <v>-9</v>
      </c>
      <c r="C68">
        <f ca="1">LOOKUP(C2,C94:V95,C136:V136)</f>
        <v>-11</v>
      </c>
      <c r="D68">
        <f ca="1">LOOKUP(D2,C94:V95,C136:V136)</f>
        <v>-11</v>
      </c>
      <c r="E68">
        <f ca="1">LOOKUP(E2,C94:V95,C136:V136)</f>
        <v>-11</v>
      </c>
      <c r="F68">
        <f ca="1">LOOKUP(F2,C94:V95,C136:V136)</f>
        <v>-11</v>
      </c>
      <c r="G68">
        <f ca="1">LOOKUP(G2,C94:V95,C136:V136)</f>
        <v>-9</v>
      </c>
      <c r="H68">
        <f ca="1">LOOKUP(H2,C94:V95,C136:V136)</f>
        <v>-7</v>
      </c>
      <c r="I68">
        <f ca="1">LOOKUP(I2,C94:V95,C136:V136)</f>
        <v>-7</v>
      </c>
      <c r="J68">
        <f ca="1">LOOKUP(J2,C94:V95,C136:V136)</f>
        <v>-5</v>
      </c>
      <c r="K68">
        <f ca="1">LOOKUP(K2,C94:V95,C136:V136)</f>
        <v>-7</v>
      </c>
      <c r="L68">
        <f ca="1">LOOKUP(L2,C94:V95,C136:V136)</f>
        <v>-4</v>
      </c>
      <c r="M68" t="e">
        <f>LOOKUP(M2,C94:V95,C136:V136)</f>
        <v>#N/A</v>
      </c>
      <c r="N68" t="e">
        <f>LOOKUP(N2,C94:V95,C136:V136)</f>
        <v>#N/A</v>
      </c>
      <c r="O68" t="e">
        <f>LOOKUP(O2,C94:V95,C136:V136)</f>
        <v>#N/A</v>
      </c>
      <c r="P68" t="e">
        <f>LOOKUP(P2,C94:V95,C136:V136)</f>
        <v>#N/A</v>
      </c>
      <c r="Q68" t="e">
        <f>LOOKUP(Q2,C94:V95,C136:V136)</f>
        <v>#N/A</v>
      </c>
    </row>
    <row r="69" spans="1:17">
      <c r="A69" s="153" t="str">
        <f t="shared" si="0"/>
        <v>j6</v>
      </c>
      <c r="B69">
        <f ca="1">LOOKUP(B2,C94:V95,C138:V138)</f>
        <v>-9</v>
      </c>
      <c r="C69">
        <f ca="1">LOOKUP(C2,C94:V95,C138:V138)</f>
        <v>-11</v>
      </c>
      <c r="D69">
        <f ca="1">LOOKUP(D2,C94:V95,C138:V138)</f>
        <v>-11</v>
      </c>
      <c r="E69">
        <f ca="1">LOOKUP(E2,C94:V95,C138:V138)</f>
        <v>-11</v>
      </c>
      <c r="F69">
        <f ca="1">LOOKUP(F2,C94:V95,C138:V138)</f>
        <v>-11</v>
      </c>
      <c r="G69">
        <f ca="1">LOOKUP(G2,C94:V95,C138:V138)</f>
        <v>-9</v>
      </c>
      <c r="H69">
        <f ca="1">LOOKUP(H2,C94:V95,C138:V138)</f>
        <v>-7</v>
      </c>
      <c r="I69">
        <f ca="1">LOOKUP(I2,C94:V95,C138:V138)</f>
        <v>-7</v>
      </c>
      <c r="J69">
        <f ca="1">LOOKUP(J2,C94:V95,C138:V138)</f>
        <v>-5</v>
      </c>
      <c r="K69">
        <f ca="1">LOOKUP(K2,C94:V95,C138:V138)</f>
        <v>-7</v>
      </c>
      <c r="L69">
        <f ca="1">LOOKUP(L2,C94:V95,C138:V138)</f>
        <v>-4</v>
      </c>
      <c r="M69" t="e">
        <f>LOOKUP(M2,C94:V95,C138:V138)</f>
        <v>#N/A</v>
      </c>
      <c r="N69" t="e">
        <f>LOOKUP(N2,C94:V95,C138:V138)</f>
        <v>#N/A</v>
      </c>
      <c r="O69" t="e">
        <f>LOOKUP(O2,C94:V95,C138:V138)</f>
        <v>#N/A</v>
      </c>
      <c r="P69" t="e">
        <f>LOOKUP(P2,C94:V95,C138:V138)</f>
        <v>#N/A</v>
      </c>
      <c r="Q69" t="e">
        <f>LOOKUP(Q2,C94:V95,C138:V138)</f>
        <v>#N/A</v>
      </c>
    </row>
    <row r="70" spans="1:17">
      <c r="A70" s="153" t="str">
        <f t="shared" si="0"/>
        <v>j7</v>
      </c>
      <c r="B70">
        <f ca="1">LOOKUP(B2,C94:V95,C140:V140)</f>
        <v>-15</v>
      </c>
      <c r="C70">
        <f ca="1">LOOKUP(C2,C94:V95,C140:V140)</f>
        <v>-18</v>
      </c>
      <c r="D70">
        <f ca="1">LOOKUP(D2,C94:V95,C140:V140)</f>
        <v>-18</v>
      </c>
      <c r="E70">
        <f ca="1">LOOKUP(E2,C94:V95,C140:V140)</f>
        <v>-18</v>
      </c>
      <c r="F70">
        <f ca="1">LOOKUP(F2,C94:V95,C140:V140)</f>
        <v>-18</v>
      </c>
      <c r="G70">
        <f ca="1">LOOKUP(G2,C94:V95,C140:V140)</f>
        <v>-15</v>
      </c>
      <c r="H70">
        <f ca="1">LOOKUP(H2,C94:V95,C140:V140)</f>
        <v>-12</v>
      </c>
      <c r="I70">
        <f ca="1">LOOKUP(I2,C94:V95,C140:V140)</f>
        <v>-12</v>
      </c>
      <c r="J70">
        <f ca="1">LOOKUP(J2,C94:V95,C140:V140)</f>
        <v>-10</v>
      </c>
      <c r="K70">
        <f ca="1">LOOKUP(K2,C94:V95,C140:V140)</f>
        <v>-12</v>
      </c>
      <c r="L70">
        <f ca="1">LOOKUP(L2,C94:V95,C140:V140)</f>
        <v>-8</v>
      </c>
      <c r="M70" t="e">
        <f>LOOKUP(M2,C94:V95,C140:V140)</f>
        <v>#N/A</v>
      </c>
      <c r="N70" t="e">
        <f>LOOKUP(N2,C94:V95,C140:V140)</f>
        <v>#N/A</v>
      </c>
      <c r="O70" t="e">
        <f>LOOKUP(O2,C94:V95,C140:V140)</f>
        <v>#N/A</v>
      </c>
      <c r="P70" t="e">
        <f>LOOKUP(P2,C94:V95,C140:V140)</f>
        <v>#N/A</v>
      </c>
      <c r="Q70" t="e">
        <f>LOOKUP(Q2,C94:V95,C140:V140)</f>
        <v>#N/A</v>
      </c>
    </row>
    <row r="71" spans="1:17">
      <c r="A71" s="153" t="str">
        <f t="shared" si="0"/>
        <v>js5</v>
      </c>
      <c r="B71">
        <f ca="1">LOOKUP(B2,C94:V95,C142:V142)</f>
        <v>-7.5</v>
      </c>
      <c r="C71">
        <f ca="1">LOOKUP(C2,C94:V95,C142:V142)</f>
        <v>-9</v>
      </c>
      <c r="D71">
        <f ca="1">LOOKUP(D2,C94:V95,C142:V142)</f>
        <v>-9</v>
      </c>
      <c r="E71">
        <f ca="1">LOOKUP(E2,C94:V95,C142:V142)</f>
        <v>-9</v>
      </c>
      <c r="F71">
        <f ca="1">LOOKUP(F2,C94:V95,C142:V142)</f>
        <v>-9</v>
      </c>
      <c r="G71">
        <f ca="1">LOOKUP(G2,C94:V95,C142:V142)</f>
        <v>-7.5</v>
      </c>
      <c r="H71">
        <f ca="1">LOOKUP(H2,C94:V95,C142:V142)</f>
        <v>-6.5</v>
      </c>
      <c r="I71">
        <f ca="1">LOOKUP(I2,C94:V95,C142:V142)</f>
        <v>-6.5</v>
      </c>
      <c r="J71">
        <f ca="1">LOOKUP(J2,C94:V95,C142:V142)</f>
        <v>-5.5</v>
      </c>
      <c r="K71">
        <f ca="1">LOOKUP(K2,C94:V95,C142:V142)</f>
        <v>-6.5</v>
      </c>
      <c r="L71">
        <f ca="1">LOOKUP(L2,C94:V95,C142:V142)</f>
        <v>-4.5</v>
      </c>
      <c r="M71" t="e">
        <f>LOOKUP(M2,C94:V95,C142:V142)</f>
        <v>#N/A</v>
      </c>
      <c r="N71" t="e">
        <f>LOOKUP(N2,C94:V95,C142:V142)</f>
        <v>#N/A</v>
      </c>
      <c r="O71" t="e">
        <f>LOOKUP(O2,C94:V95,C142:V142)</f>
        <v>#N/A</v>
      </c>
      <c r="P71" t="e">
        <f>LOOKUP(P2,C94:V95,C142:V142)</f>
        <v>#N/A</v>
      </c>
      <c r="Q71" t="e">
        <f>LOOKUP(Q2,C94:V95,C142:V142)</f>
        <v>#N/A</v>
      </c>
    </row>
    <row r="72" spans="1:17">
      <c r="A72" s="153" t="str">
        <f t="shared" si="0"/>
        <v>js6</v>
      </c>
      <c r="B72">
        <f ca="1">LOOKUP(B2,C94:V95,C144:V144)</f>
        <v>-11</v>
      </c>
      <c r="C72">
        <f ca="1">LOOKUP(C2,C94:V95,C144:V144)</f>
        <v>-12.5</v>
      </c>
      <c r="D72">
        <f ca="1">LOOKUP(D2,C94:V95,C144:V144)</f>
        <v>-12.5</v>
      </c>
      <c r="E72">
        <f ca="1">LOOKUP(E2,C94:V95,C144:V144)</f>
        <v>-12.5</v>
      </c>
      <c r="F72">
        <f ca="1">LOOKUP(F2,C94:V95,C144:V144)</f>
        <v>-12.5</v>
      </c>
      <c r="G72">
        <f ca="1">LOOKUP(G2,C94:V95,C144:V144)</f>
        <v>-11</v>
      </c>
      <c r="H72">
        <f ca="1">LOOKUP(H2,C94:V95,C144:V144)</f>
        <v>-9.5</v>
      </c>
      <c r="I72">
        <f ca="1">LOOKUP(I2,C94:V95,C144:V144)</f>
        <v>-9.5</v>
      </c>
      <c r="J72">
        <f ca="1">LOOKUP(J2,C94:V95,C144:V144)</f>
        <v>-8</v>
      </c>
      <c r="K72">
        <f ca="1">LOOKUP(K2,C94:V95,C144:V144)</f>
        <v>-9.5</v>
      </c>
      <c r="L72">
        <f ca="1">LOOKUP(L2,C94:V95,C144:V144)</f>
        <v>-6.5</v>
      </c>
      <c r="M72" t="e">
        <f>LOOKUP(M2,C94:V95,C144:V144)</f>
        <v>#N/A</v>
      </c>
      <c r="N72" t="e">
        <f>LOOKUP(N2,C94:V95,C144:V144)</f>
        <v>#N/A</v>
      </c>
      <c r="O72" t="e">
        <f>LOOKUP(O2,C94:V95,C144:V144)</f>
        <v>#N/A</v>
      </c>
      <c r="P72" t="e">
        <f>LOOKUP(P2,C94:V95,C144:V144)</f>
        <v>#N/A</v>
      </c>
      <c r="Q72" t="e">
        <f>LOOKUP(Q2,C94:V95,C144:V144)</f>
        <v>#N/A</v>
      </c>
    </row>
    <row r="73" spans="1:17">
      <c r="A73" s="153" t="str">
        <f t="shared" si="0"/>
        <v>js7</v>
      </c>
      <c r="B73">
        <f ca="1">LOOKUP(B2,C94:V95,C146:V146)</f>
        <v>-17.5</v>
      </c>
      <c r="C73">
        <f ca="1">LOOKUP(C2,C94:V95,C146:V146)</f>
        <v>-20</v>
      </c>
      <c r="D73">
        <f ca="1">LOOKUP(D2,C94:V95,C146:V146)</f>
        <v>-20</v>
      </c>
      <c r="E73">
        <f ca="1">LOOKUP(E2,C94:V95,C146:V146)</f>
        <v>-20</v>
      </c>
      <c r="F73">
        <f ca="1">LOOKUP(F2,C94:V95,C146:V146)</f>
        <v>-20</v>
      </c>
      <c r="G73">
        <f ca="1">LOOKUP(G2,C94:V95,C146:V146)</f>
        <v>-17.5</v>
      </c>
      <c r="H73">
        <f ca="1">LOOKUP(H2,C94:V95,C146:V146)</f>
        <v>-15</v>
      </c>
      <c r="I73">
        <f ca="1">LOOKUP(I2,C94:V95,C146:V146)</f>
        <v>-15</v>
      </c>
      <c r="J73">
        <f ca="1">LOOKUP(J2,C94:V95,C146:V146)</f>
        <v>-12.5</v>
      </c>
      <c r="K73">
        <f ca="1">LOOKUP(K2,C94:V95,C146:V146)</f>
        <v>-15</v>
      </c>
      <c r="L73">
        <f ca="1">LOOKUP(L2,C94:V95,C146:V146)</f>
        <v>-10.5</v>
      </c>
      <c r="M73" t="e">
        <f>LOOKUP(M2,C94:V95,C146:V146)</f>
        <v>#N/A</v>
      </c>
      <c r="N73" t="e">
        <f>LOOKUP(N2,C94:V95,C146:V146)</f>
        <v>#N/A</v>
      </c>
      <c r="O73" t="e">
        <f>LOOKUP(O2,C94:V95,C146:V146)</f>
        <v>#N/A</v>
      </c>
      <c r="P73" t="e">
        <f>LOOKUP(P2,C94:V95,C146:V146)</f>
        <v>#N/A</v>
      </c>
      <c r="Q73" t="e">
        <f>LOOKUP(Q2,C94:V95,C146:V146)</f>
        <v>#N/A</v>
      </c>
    </row>
    <row r="74" spans="1:17">
      <c r="A74" s="153" t="str">
        <f t="shared" si="0"/>
        <v>k5</v>
      </c>
      <c r="B74">
        <f ca="1">LOOKUP(B2,C94:V95,C148:V148)</f>
        <v>3</v>
      </c>
      <c r="C74">
        <f ca="1">LOOKUP(C2,C94:V95,C148:V148)</f>
        <v>3</v>
      </c>
      <c r="D74">
        <f ca="1">LOOKUP(D2,C94:V95,C148:V148)</f>
        <v>3</v>
      </c>
      <c r="E74">
        <f ca="1">LOOKUP(E2,C94:V95,C148:V148)</f>
        <v>3</v>
      </c>
      <c r="F74">
        <f ca="1">LOOKUP(F2,C94:V95,C148:V148)</f>
        <v>3</v>
      </c>
      <c r="G74">
        <f ca="1">LOOKUP(G2,C94:V95,C148:V148)</f>
        <v>3</v>
      </c>
      <c r="H74">
        <f ca="1">LOOKUP(H2,C94:V95,C148:V148)</f>
        <v>2</v>
      </c>
      <c r="I74">
        <f ca="1">LOOKUP(I2,C94:V95,C148:V148)</f>
        <v>2</v>
      </c>
      <c r="J74">
        <f ca="1">LOOKUP(J2,C94:V95,C148:V148)</f>
        <v>2</v>
      </c>
      <c r="K74">
        <f ca="1">LOOKUP(K2,C94:V95,C148:V148)</f>
        <v>2</v>
      </c>
      <c r="L74">
        <f ca="1">LOOKUP(L2,C94:V95,C148:V148)</f>
        <v>2</v>
      </c>
      <c r="M74" t="e">
        <f>LOOKUP(M2,C94:V95,C148:V148)</f>
        <v>#N/A</v>
      </c>
      <c r="N74" t="e">
        <f>LOOKUP(N2,C94:V95,C148:V148)</f>
        <v>#N/A</v>
      </c>
      <c r="O74" t="e">
        <f>LOOKUP(O2,C94:V95,C148:V148)</f>
        <v>#N/A</v>
      </c>
      <c r="P74" t="e">
        <f>LOOKUP(P2,C94:V95,C148:V148)</f>
        <v>#N/A</v>
      </c>
      <c r="Q74" t="e">
        <f>LOOKUP(Q2,C94:V95,C148:V148)</f>
        <v>#N/A</v>
      </c>
    </row>
    <row r="75" spans="1:17">
      <c r="A75" s="153" t="str">
        <f t="shared" si="0"/>
        <v>k6</v>
      </c>
      <c r="B75">
        <f ca="1">LOOKUP(B2,C94:V95,C150:V150)</f>
        <v>3</v>
      </c>
      <c r="C75">
        <f ca="1">LOOKUP(C2,C94:V95,C150:V150)</f>
        <v>3</v>
      </c>
      <c r="D75">
        <f ca="1">LOOKUP(D2,C94:V95,C150:V150)</f>
        <v>3</v>
      </c>
      <c r="E75">
        <f ca="1">LOOKUP(E2,C94:V95,C150:V150)</f>
        <v>3</v>
      </c>
      <c r="F75">
        <f ca="1">LOOKUP(F2,C94:V95,C150:V150)</f>
        <v>3</v>
      </c>
      <c r="G75">
        <f ca="1">LOOKUP(G2,C94:V95,C150:V150)</f>
        <v>3</v>
      </c>
      <c r="H75">
        <f ca="1">LOOKUP(H2,C94:V95,C150:V150)</f>
        <v>2</v>
      </c>
      <c r="I75">
        <f ca="1">LOOKUP(I2,C94:V95,C150:V150)</f>
        <v>2</v>
      </c>
      <c r="J75">
        <f ca="1">LOOKUP(J2,C94:V95,C150:V150)</f>
        <v>2</v>
      </c>
      <c r="K75">
        <f ca="1">LOOKUP(K2,C94:V95,C150:V150)</f>
        <v>2</v>
      </c>
      <c r="L75">
        <f ca="1">LOOKUP(L2,C94:V95,C150:V150)</f>
        <v>2</v>
      </c>
      <c r="M75" t="e">
        <f>LOOKUP(M2,C94:V95,C150:V150)</f>
        <v>#N/A</v>
      </c>
      <c r="N75" t="e">
        <f>LOOKUP(N2,C94:V95,C150:V150)</f>
        <v>#N/A</v>
      </c>
      <c r="O75" t="e">
        <f>LOOKUP(O2,C94:V95,C150:V150)</f>
        <v>#N/A</v>
      </c>
      <c r="P75" t="e">
        <f>LOOKUP(P2,C94:V95,C150:V150)</f>
        <v>#N/A</v>
      </c>
      <c r="Q75" t="e">
        <f>LOOKUP(Q2,C94:V95,C150:V150)</f>
        <v>#N/A</v>
      </c>
    </row>
    <row r="76" spans="1:17">
      <c r="A76" s="153" t="str">
        <f t="shared" si="0"/>
        <v>k7</v>
      </c>
      <c r="B76">
        <f ca="1">LOOKUP(B2,C94:V95,C152:V152)</f>
        <v>3</v>
      </c>
      <c r="C76">
        <f ca="1">LOOKUP(C2,C94:V95,C152:V152)</f>
        <v>3</v>
      </c>
      <c r="D76">
        <f ca="1">LOOKUP(D2,C94:V95,C152:V152)</f>
        <v>3</v>
      </c>
      <c r="E76">
        <f ca="1">LOOKUP(E2,C94:V95,C152:V152)</f>
        <v>3</v>
      </c>
      <c r="F76">
        <f ca="1">LOOKUP(F2,C94:V95,C152:V152)</f>
        <v>3</v>
      </c>
      <c r="G76">
        <f ca="1">LOOKUP(G2,C94:V95,C152:V152)</f>
        <v>3</v>
      </c>
      <c r="H76">
        <f ca="1">LOOKUP(H2,C94:V95,C152:V152)</f>
        <v>2</v>
      </c>
      <c r="I76">
        <f ca="1">LOOKUP(I2,C94:V95,C152:V152)</f>
        <v>2</v>
      </c>
      <c r="J76">
        <f ca="1">LOOKUP(J2,C94:V95,C152:V152)</f>
        <v>2</v>
      </c>
      <c r="K76">
        <f ca="1">LOOKUP(K2,C94:V95,C152:V152)</f>
        <v>2</v>
      </c>
      <c r="L76">
        <f ca="1">LOOKUP(L2,C94:V95,C152:V152)</f>
        <v>2</v>
      </c>
      <c r="M76" t="e">
        <f>LOOKUP(M2,C94:V95,C152:V152)</f>
        <v>#N/A</v>
      </c>
      <c r="N76" t="e">
        <f>LOOKUP(N2,C94:V95,C152:V152)</f>
        <v>#N/A</v>
      </c>
      <c r="O76" t="e">
        <f>LOOKUP(O2,C94:V95,C152:V152)</f>
        <v>#N/A</v>
      </c>
      <c r="P76" t="e">
        <f>LOOKUP(P2,C94:V95,C152:V152)</f>
        <v>#N/A</v>
      </c>
      <c r="Q76" t="e">
        <f>LOOKUP(Q2,C94:V95,C152:V152)</f>
        <v>#N/A</v>
      </c>
    </row>
    <row r="77" spans="1:17">
      <c r="A77" s="153" t="str">
        <f t="shared" si="0"/>
        <v>m5</v>
      </c>
      <c r="B77">
        <f ca="1">LOOKUP(B2,C94:V95,C154:V154)</f>
        <v>13</v>
      </c>
      <c r="C77">
        <f ca="1">LOOKUP(C2,C94:V95,C154:V154)</f>
        <v>15</v>
      </c>
      <c r="D77">
        <f ca="1">LOOKUP(D2,C94:V95,C154:V154)</f>
        <v>15</v>
      </c>
      <c r="E77">
        <f ca="1">LOOKUP(E2,C94:V95,C154:V154)</f>
        <v>15</v>
      </c>
      <c r="F77">
        <f ca="1">LOOKUP(F2,C94:V95,C154:V154)</f>
        <v>15</v>
      </c>
      <c r="G77">
        <f ca="1">LOOKUP(G2,C94:V95,C154:V154)</f>
        <v>13</v>
      </c>
      <c r="H77">
        <f ca="1">LOOKUP(H2,C94:V95,C154:V154)</f>
        <v>11</v>
      </c>
      <c r="I77">
        <f ca="1">LOOKUP(I2,C94:V95,C154:V154)</f>
        <v>11</v>
      </c>
      <c r="J77">
        <f ca="1">LOOKUP(J2,C94:V95,C154:V154)</f>
        <v>9</v>
      </c>
      <c r="K77">
        <f ca="1">LOOKUP(K2,C94:V95,C154:V154)</f>
        <v>11</v>
      </c>
      <c r="L77">
        <f ca="1">LOOKUP(L2,C94:V95,C154:V154)</f>
        <v>8</v>
      </c>
      <c r="M77" t="e">
        <f>LOOKUP(M2,C94:V95,C154:V154)</f>
        <v>#N/A</v>
      </c>
      <c r="N77" t="e">
        <f>LOOKUP(N2,C94:V95,C154:V154)</f>
        <v>#N/A</v>
      </c>
      <c r="O77" t="e">
        <f>LOOKUP(O2,C94:V95,C154:V154)</f>
        <v>#N/A</v>
      </c>
      <c r="P77" t="e">
        <f>LOOKUP(P2,C94:V95,C154:V154)</f>
        <v>#N/A</v>
      </c>
      <c r="Q77" t="e">
        <f>LOOKUP(Q2,C94:V95,C154:V154)</f>
        <v>#N/A</v>
      </c>
    </row>
    <row r="78" spans="1:17">
      <c r="A78" s="153" t="str">
        <f t="shared" si="0"/>
        <v>m6</v>
      </c>
      <c r="B78">
        <f ca="1">LOOKUP(B2,C94:V95,C156:V156)</f>
        <v>13</v>
      </c>
      <c r="C78">
        <f ca="1">LOOKUP(C2,C94:V95,C156:V156)</f>
        <v>15</v>
      </c>
      <c r="D78">
        <f ca="1">LOOKUP(D2,C94:V95,C156:V156)</f>
        <v>15</v>
      </c>
      <c r="E78">
        <f ca="1">LOOKUP(E2,C94:V95,C156:V156)</f>
        <v>15</v>
      </c>
      <c r="F78">
        <f ca="1">LOOKUP(F2,C94:V95,C156:V156)</f>
        <v>15</v>
      </c>
      <c r="G78">
        <f ca="1">LOOKUP(G2,C94:V95,C156:V156)</f>
        <v>13</v>
      </c>
      <c r="H78">
        <f ca="1">LOOKUP(H2,C94:V95,C156:V156)</f>
        <v>11</v>
      </c>
      <c r="I78">
        <f ca="1">LOOKUP(I2,C94:V95,C156:V156)</f>
        <v>11</v>
      </c>
      <c r="J78">
        <f ca="1">LOOKUP(J2,C94:V95,C156:V156)</f>
        <v>9</v>
      </c>
      <c r="K78">
        <f ca="1">LOOKUP(K2,C94:V95,C156:V156)</f>
        <v>11</v>
      </c>
      <c r="L78">
        <f ca="1">LOOKUP(L2,C94:V95,C156:V156)</f>
        <v>8</v>
      </c>
      <c r="M78" t="e">
        <f>LOOKUP(M2,C94:V95,C156:V156)</f>
        <v>#N/A</v>
      </c>
      <c r="N78" t="e">
        <f>LOOKUP(N2,C94:V95,C156:V156)</f>
        <v>#N/A</v>
      </c>
      <c r="O78" t="e">
        <f>LOOKUP(O2,C94:V95,C156:V156)</f>
        <v>#N/A</v>
      </c>
      <c r="P78" t="e">
        <f>LOOKUP(P2,C94:V95,C156:V156)</f>
        <v>#N/A</v>
      </c>
      <c r="Q78" t="e">
        <f>LOOKUP(Q2,C94:V95,C156:V156)</f>
        <v>#N/A</v>
      </c>
    </row>
    <row r="79" spans="1:17">
      <c r="A79" s="153" t="str">
        <f t="shared" si="0"/>
        <v>m7</v>
      </c>
      <c r="B79">
        <f ca="1">LOOKUP(B2,C94:V95,C158:V158)</f>
        <v>13</v>
      </c>
      <c r="C79">
        <f ca="1">LOOKUP(C2,C94:V95,C158:V158)</f>
        <v>15</v>
      </c>
      <c r="D79">
        <f ca="1">LOOKUP(D2,C94:V95,C158:V158)</f>
        <v>15</v>
      </c>
      <c r="E79">
        <f ca="1">LOOKUP(E2,C94:V95,C158:V158)</f>
        <v>15</v>
      </c>
      <c r="F79">
        <f ca="1">LOOKUP(F2,C94:V95,C158:V158)</f>
        <v>15</v>
      </c>
      <c r="G79">
        <f ca="1">LOOKUP(G2,C94:V95,C158:V158)</f>
        <v>13</v>
      </c>
      <c r="H79">
        <f ca="1">LOOKUP(H2,C94:V95,C158:V158)</f>
        <v>11</v>
      </c>
      <c r="I79">
        <f ca="1">LOOKUP(I2,C94:V95,C158:V158)</f>
        <v>11</v>
      </c>
      <c r="J79">
        <f ca="1">LOOKUP(J2,C94:V95,C158:V158)</f>
        <v>9</v>
      </c>
      <c r="K79">
        <f ca="1">LOOKUP(K2,C94:V95,C158:V158)</f>
        <v>11</v>
      </c>
      <c r="L79">
        <f ca="1">LOOKUP(L2,C94:V95,C158:V158)</f>
        <v>8</v>
      </c>
      <c r="M79" t="e">
        <f>LOOKUP(M2,C94:V95,C158:V158)</f>
        <v>#N/A</v>
      </c>
      <c r="N79" t="e">
        <f>LOOKUP(N2,C94:V95,C158:V158)</f>
        <v>#N/A</v>
      </c>
      <c r="O79" t="e">
        <f>LOOKUP(O2,C94:V95,C158:V158)</f>
        <v>#N/A</v>
      </c>
      <c r="P79" t="e">
        <f>LOOKUP(P2,C94:V95,C158:V158)</f>
        <v>#N/A</v>
      </c>
      <c r="Q79" t="e">
        <f>LOOKUP(Q2,C94:V95,C158:V158)</f>
        <v>#N/A</v>
      </c>
    </row>
    <row r="80" spans="1:17">
      <c r="A80" s="153" t="str">
        <f t="shared" si="0"/>
        <v>n5</v>
      </c>
      <c r="B80">
        <f ca="1">LOOKUP(B2,C94:V95,C160:V160)</f>
        <v>23</v>
      </c>
      <c r="C80">
        <f ca="1">LOOKUP(C2,C94:V95,C160:V160)</f>
        <v>27</v>
      </c>
      <c r="D80">
        <f ca="1">LOOKUP(D2,C94:V95,C160:V160)</f>
        <v>27</v>
      </c>
      <c r="E80">
        <f ca="1">LOOKUP(E2,C94:V95,C160:V160)</f>
        <v>27</v>
      </c>
      <c r="F80">
        <f ca="1">LOOKUP(F2,C94:V95,C160:V160)</f>
        <v>27</v>
      </c>
      <c r="G80">
        <f ca="1">LOOKUP(G2,C94:V95,C160:V160)</f>
        <v>23</v>
      </c>
      <c r="H80">
        <f ca="1">LOOKUP(H2,C94:V95,C160:V160)</f>
        <v>20</v>
      </c>
      <c r="I80">
        <f ca="1">LOOKUP(I2,C94:V95,C160:V160)</f>
        <v>20</v>
      </c>
      <c r="J80">
        <f ca="1">LOOKUP(J2,C94:V95,C160:V160)</f>
        <v>17</v>
      </c>
      <c r="K80">
        <f ca="1">LOOKUP(K2,C94:V95,C160:V160)</f>
        <v>20</v>
      </c>
      <c r="L80">
        <f ca="1">LOOKUP(L2,C94:V95,C160:V160)</f>
        <v>15</v>
      </c>
      <c r="M80" t="e">
        <f>LOOKUP(M2,C94:V95,C160:V160)</f>
        <v>#N/A</v>
      </c>
      <c r="N80" t="e">
        <f>LOOKUP(N2,C94:V95,C160:V160)</f>
        <v>#N/A</v>
      </c>
      <c r="O80" t="e">
        <f>LOOKUP(O2,C94:V95,C160:V160)</f>
        <v>#N/A</v>
      </c>
      <c r="P80" t="e">
        <f>LOOKUP(P2,C94:V95,C160:V160)</f>
        <v>#N/A</v>
      </c>
      <c r="Q80" t="e">
        <f>LOOKUP(Q2,C94:V95,C160:V160)</f>
        <v>#N/A</v>
      </c>
    </row>
    <row r="81" spans="1:22">
      <c r="A81" s="153" t="str">
        <f t="shared" si="0"/>
        <v>n6</v>
      </c>
      <c r="B81">
        <f ca="1">LOOKUP(B2,C94:V95,C162:V162)</f>
        <v>23</v>
      </c>
      <c r="C81">
        <f ca="1">LOOKUP(C2,C94:V95,C162:V162)</f>
        <v>27</v>
      </c>
      <c r="D81">
        <f ca="1">LOOKUP(D2,C94:V95,C162:V162)</f>
        <v>27</v>
      </c>
      <c r="E81">
        <f ca="1">LOOKUP(E2,C94:V95,C162:V162)</f>
        <v>27</v>
      </c>
      <c r="F81">
        <f ca="1">LOOKUP(F2,C94:V95,C162:V162)</f>
        <v>27</v>
      </c>
      <c r="G81">
        <f ca="1">LOOKUP(G2,C94:V95,C162:V162)</f>
        <v>23</v>
      </c>
      <c r="H81">
        <f ca="1">LOOKUP(H2,C94:V95,C162:V162)</f>
        <v>20</v>
      </c>
      <c r="I81">
        <f ca="1">LOOKUP(I2,C94:V95,C162:V162)</f>
        <v>20</v>
      </c>
      <c r="J81">
        <f ca="1">LOOKUP(J2,C94:V95,C162:V162)</f>
        <v>17</v>
      </c>
      <c r="K81">
        <f ca="1">LOOKUP(K2,C94:V95,C162:V162)</f>
        <v>20</v>
      </c>
      <c r="L81">
        <f ca="1">LOOKUP(L2,C94:V95,C162:V162)</f>
        <v>15</v>
      </c>
      <c r="M81" t="e">
        <f>LOOKUP(M2,C94:V95,C162:V162)</f>
        <v>#N/A</v>
      </c>
      <c r="N81" t="e">
        <f>LOOKUP(N2,C94:V95,C162:V162)</f>
        <v>#N/A</v>
      </c>
      <c r="O81" t="e">
        <f>LOOKUP(O2,C94:V95,C162:V162)</f>
        <v>#N/A</v>
      </c>
      <c r="P81" t="e">
        <f>LOOKUP(P2,C94:V95,C162:V162)</f>
        <v>#N/A</v>
      </c>
      <c r="Q81" t="e">
        <f>LOOKUP(Q2,C94:V95,C162:V162)</f>
        <v>#N/A</v>
      </c>
    </row>
    <row r="82" spans="1:22">
      <c r="A82" s="153" t="str">
        <f t="shared" si="0"/>
        <v>n7</v>
      </c>
      <c r="B82">
        <f ca="1">LOOKUP(B2,C94:V95,C164:V164)</f>
        <v>23</v>
      </c>
      <c r="C82">
        <f ca="1">LOOKUP(C2,C94:V95,C164:V164)</f>
        <v>27</v>
      </c>
      <c r="D82">
        <f ca="1">LOOKUP(D2,C94:V95,C164:V164)</f>
        <v>27</v>
      </c>
      <c r="E82">
        <f ca="1">LOOKUP(E2,C94:V95,C164:V164)</f>
        <v>27</v>
      </c>
      <c r="F82">
        <f ca="1">LOOKUP(F2,C94:V95,C164:V164)</f>
        <v>27</v>
      </c>
      <c r="G82">
        <f ca="1">LOOKUP(G2,C94:V95,C164:V164)</f>
        <v>23</v>
      </c>
      <c r="H82">
        <f ca="1">LOOKUP(H2,C94:V95,C164:V164)</f>
        <v>20</v>
      </c>
      <c r="I82">
        <f ca="1">LOOKUP(I2,C94:V95,C164:V164)</f>
        <v>20</v>
      </c>
      <c r="J82">
        <f ca="1">LOOKUP(J2,C94:V95,C164:V164)</f>
        <v>17</v>
      </c>
      <c r="K82">
        <f ca="1">LOOKUP(K2,C94:V95,C164:V164)</f>
        <v>20</v>
      </c>
      <c r="L82">
        <f ca="1">LOOKUP(L2,C94:V95,C164:V164)</f>
        <v>15</v>
      </c>
      <c r="M82" t="e">
        <f>LOOKUP(M2,C94:V95,C164:V164)</f>
        <v>#N/A</v>
      </c>
      <c r="N82" t="e">
        <f>LOOKUP(N2,C94:V95,C164:V164)</f>
        <v>#N/A</v>
      </c>
      <c r="O82" t="e">
        <f>LOOKUP(O2,C94:V95,C164:V164)</f>
        <v>#N/A</v>
      </c>
      <c r="P82" t="e">
        <f>LOOKUP(P2,C94:V95,C164:V164)</f>
        <v>#N/A</v>
      </c>
      <c r="Q82" t="e">
        <f>LOOKUP(Q2,C94:V95,C164:V164)</f>
        <v>#N/A</v>
      </c>
    </row>
    <row r="83" spans="1:22">
      <c r="A83" s="153" t="str">
        <f t="shared" si="0"/>
        <v>p5</v>
      </c>
      <c r="B83">
        <f ca="1">LOOKUP(B2,C94:V95,C166:V166)</f>
        <v>37</v>
      </c>
      <c r="C83">
        <f ca="1">LOOKUP(C2,C94:V95,C166:V166)</f>
        <v>43</v>
      </c>
      <c r="D83">
        <f ca="1">LOOKUP(D2,C94:V95,C166:V166)</f>
        <v>43</v>
      </c>
      <c r="E83">
        <f ca="1">LOOKUP(E2,C94:V95,C166:V166)</f>
        <v>43</v>
      </c>
      <c r="F83">
        <f ca="1">LOOKUP(F2,C94:V95,C166:V166)</f>
        <v>43</v>
      </c>
      <c r="G83">
        <f ca="1">LOOKUP(G2,C94:V95,C166:V166)</f>
        <v>37</v>
      </c>
      <c r="H83">
        <f ca="1">LOOKUP(H2,C94:V95,C166:V166)</f>
        <v>32</v>
      </c>
      <c r="I83">
        <f ca="1">LOOKUP(I2,C94:V95,C166:V166)</f>
        <v>32</v>
      </c>
      <c r="J83">
        <f ca="1">LOOKUP(J2,C94:V95,C166:V166)</f>
        <v>26</v>
      </c>
      <c r="K83">
        <f ca="1">LOOKUP(K2,C94:V95,C166:V166)</f>
        <v>32</v>
      </c>
      <c r="L83">
        <f ca="1">LOOKUP(L2,C94:V95,C166:V166)</f>
        <v>22</v>
      </c>
      <c r="M83" t="e">
        <f>LOOKUP(M2,C94:V95,C166:V166)</f>
        <v>#N/A</v>
      </c>
      <c r="N83" t="e">
        <f>LOOKUP(N2,C94:V95,C166:V166)</f>
        <v>#N/A</v>
      </c>
      <c r="O83" t="e">
        <f>LOOKUP(O2,C94:V95,C166:V166)</f>
        <v>#N/A</v>
      </c>
      <c r="P83" t="e">
        <f>LOOKUP(P2,C94:V95,C166:V166)</f>
        <v>#N/A</v>
      </c>
      <c r="Q83" t="e">
        <f>LOOKUP(Q2,C94:V95,C166:V166)</f>
        <v>#N/A</v>
      </c>
    </row>
    <row r="84" spans="1:22">
      <c r="A84" s="153" t="str">
        <f t="shared" si="0"/>
        <v>p6</v>
      </c>
      <c r="B84">
        <f ca="1">LOOKUP(B2,C94:V95,C168:V168)</f>
        <v>37</v>
      </c>
      <c r="C84">
        <f ca="1">LOOKUP(C2,C94:V95,C168:V168)</f>
        <v>43</v>
      </c>
      <c r="D84">
        <f ca="1">LOOKUP(D2,C94:V95,C168:V168)</f>
        <v>43</v>
      </c>
      <c r="E84">
        <f ca="1">LOOKUP(E2,C94:V95,C168:V168)</f>
        <v>43</v>
      </c>
      <c r="F84">
        <f ca="1">LOOKUP(F2,C94:V95,C168:V168)</f>
        <v>43</v>
      </c>
      <c r="G84">
        <f ca="1">LOOKUP(G2,C94:V95,C168:V168)</f>
        <v>37</v>
      </c>
      <c r="H84">
        <f ca="1">LOOKUP(H2,C94:V95,C168:V168)</f>
        <v>32</v>
      </c>
      <c r="I84">
        <f ca="1">LOOKUP(I2,C94:V95,C168:V168)</f>
        <v>32</v>
      </c>
      <c r="J84">
        <f ca="1">LOOKUP(J2,C94:V95,C168:V168)</f>
        <v>26</v>
      </c>
      <c r="K84">
        <f ca="1">LOOKUP(K2,C94:V95,C168:V168)</f>
        <v>32</v>
      </c>
      <c r="L84">
        <f ca="1">LOOKUP(L2,C94:V95,C168:V168)</f>
        <v>22</v>
      </c>
      <c r="M84" t="e">
        <f>LOOKUP(M2,C94:V95,C168:V168)</f>
        <v>#N/A</v>
      </c>
      <c r="N84" t="e">
        <f>LOOKUP(N2,C94:V95,C168:V168)</f>
        <v>#N/A</v>
      </c>
      <c r="O84" t="e">
        <f>LOOKUP(O2,C94:V95,C168:V168)</f>
        <v>#N/A</v>
      </c>
      <c r="P84" t="e">
        <f>LOOKUP(P2,C94:V95,C168:V168)</f>
        <v>#N/A</v>
      </c>
      <c r="Q84" t="e">
        <f>LOOKUP(Q2,C94:V95,C168:V168)</f>
        <v>#N/A</v>
      </c>
    </row>
    <row r="85" spans="1:22">
      <c r="A85" s="153" t="str">
        <f t="shared" si="0"/>
        <v>q6</v>
      </c>
      <c r="B85">
        <f ca="1">LOOKUP(B2,C94:V95,C170:V170)</f>
        <v>54</v>
      </c>
      <c r="C85">
        <f ca="1">LOOKUP(C2,C94:V95,C170:V170)</f>
        <v>63</v>
      </c>
      <c r="D85">
        <f ca="1">LOOKUP(D2,C94:V95,C170:V170)</f>
        <v>65</v>
      </c>
      <c r="E85">
        <f ca="1">LOOKUP(E2,C94:V95,C170:V170)</f>
        <v>68</v>
      </c>
      <c r="F85">
        <f ca="1">LOOKUP(F2,C94:V95,C170:V170)</f>
        <v>65</v>
      </c>
      <c r="G85">
        <f ca="1">LOOKUP(G2,C94:V95,C170:V170)</f>
        <v>51</v>
      </c>
      <c r="H85">
        <f ca="1">LOOKUP(H2,C94:V95,C170:V170)</f>
        <v>43</v>
      </c>
      <c r="I85">
        <f ca="1">LOOKUP(I2,C94:V95,C170:V170)</f>
        <v>41</v>
      </c>
      <c r="J85">
        <f ca="1">LOOKUP(J2,C94:V95,C170:V170)</f>
        <v>34</v>
      </c>
      <c r="K85">
        <f ca="1">LOOKUP(K2,C94:V95,C170:V170)</f>
        <v>41</v>
      </c>
      <c r="L85">
        <f ca="1">LOOKUP(L2,C94:V95,C170:V170)</f>
        <v>28</v>
      </c>
      <c r="M85" t="e">
        <f>LOOKUP(M2,C94:V95,C170:V170)</f>
        <v>#N/A</v>
      </c>
      <c r="N85" t="e">
        <f>LOOKUP(N2,C94:V95,C170:V170)</f>
        <v>#N/A</v>
      </c>
      <c r="O85" t="e">
        <f>LOOKUP(O2,C94:V95,C170:V170)</f>
        <v>#N/A</v>
      </c>
      <c r="P85" t="e">
        <f>LOOKUP(P2,C94:V95,C170:V170)</f>
        <v>#N/A</v>
      </c>
      <c r="Q85" t="e">
        <f>LOOKUP(Q2,C94:V95,C170:V170)</f>
        <v>#N/A</v>
      </c>
    </row>
    <row r="86" spans="1:22">
      <c r="A86" s="155"/>
    </row>
    <row r="91" spans="1:22" ht="15.75" thickBot="1"/>
    <row r="92" spans="1:22" ht="15.75" thickBot="1">
      <c r="B92" s="297" t="s">
        <v>358</v>
      </c>
      <c r="C92" s="298"/>
      <c r="D92" s="298"/>
      <c r="E92" s="298"/>
      <c r="F92" s="298"/>
      <c r="G92" s="298"/>
      <c r="H92" s="298"/>
      <c r="I92" s="298"/>
      <c r="J92" s="298"/>
      <c r="K92" s="298"/>
      <c r="L92" s="298"/>
      <c r="M92" s="298"/>
      <c r="N92" s="298"/>
      <c r="O92" s="298"/>
      <c r="P92" s="298"/>
      <c r="Q92" s="298"/>
      <c r="R92" s="298"/>
      <c r="S92" s="298"/>
      <c r="T92" s="298"/>
      <c r="U92" s="298"/>
      <c r="V92" s="299"/>
    </row>
    <row r="93" spans="1:22">
      <c r="B93" s="300" t="s">
        <v>316</v>
      </c>
      <c r="C93" s="301"/>
      <c r="D93" s="301"/>
      <c r="E93" s="301"/>
      <c r="F93" s="301"/>
      <c r="G93" s="301"/>
      <c r="H93" s="301"/>
      <c r="I93" s="301"/>
      <c r="J93" s="301"/>
      <c r="K93" s="301"/>
      <c r="L93" s="301"/>
      <c r="M93" s="301"/>
      <c r="N93" s="301"/>
      <c r="O93" s="301"/>
      <c r="P93" s="301"/>
      <c r="Q93" s="301"/>
      <c r="R93" s="301"/>
      <c r="S93" s="301"/>
      <c r="T93" s="301"/>
      <c r="U93" s="301"/>
      <c r="V93" s="302"/>
    </row>
    <row r="94" spans="1:22">
      <c r="B94" s="137" t="s">
        <v>352</v>
      </c>
      <c r="C94" s="135">
        <v>3.0009999999999999</v>
      </c>
      <c r="D94" s="135">
        <v>6.0010000000000003</v>
      </c>
      <c r="E94" s="135">
        <v>10.000999999999999</v>
      </c>
      <c r="F94" s="135">
        <v>18.001000000000001</v>
      </c>
      <c r="G94" s="135">
        <v>30.001000000000001</v>
      </c>
      <c r="H94" s="135">
        <v>40.000999999999998</v>
      </c>
      <c r="I94" s="135">
        <v>50.000999999999998</v>
      </c>
      <c r="J94" s="135">
        <v>65.001000000000005</v>
      </c>
      <c r="K94" s="135">
        <v>80.001000000000005</v>
      </c>
      <c r="L94" s="135">
        <v>100.001</v>
      </c>
      <c r="M94" s="135">
        <v>120.001</v>
      </c>
      <c r="N94" s="135">
        <v>140.001</v>
      </c>
      <c r="O94" s="135">
        <v>160.001</v>
      </c>
      <c r="P94" s="135">
        <v>180.001</v>
      </c>
      <c r="Q94" s="135">
        <v>200.001</v>
      </c>
      <c r="R94" s="135">
        <v>225.001</v>
      </c>
      <c r="S94" s="135">
        <v>250.001</v>
      </c>
      <c r="T94" s="135">
        <v>280.00099999999998</v>
      </c>
      <c r="U94" s="135">
        <v>315.00099999999998</v>
      </c>
      <c r="V94" s="135">
        <v>355.00099999999998</v>
      </c>
    </row>
    <row r="95" spans="1:22">
      <c r="B95" s="134" t="s">
        <v>317</v>
      </c>
      <c r="C95" s="135">
        <v>6</v>
      </c>
      <c r="D95" s="135">
        <v>10</v>
      </c>
      <c r="E95" s="135">
        <v>18</v>
      </c>
      <c r="F95" s="135">
        <v>30</v>
      </c>
      <c r="G95" s="135">
        <v>40</v>
      </c>
      <c r="H95" s="135">
        <v>50</v>
      </c>
      <c r="I95" s="135">
        <v>65</v>
      </c>
      <c r="J95" s="135">
        <v>80</v>
      </c>
      <c r="K95" s="135">
        <v>100</v>
      </c>
      <c r="L95" s="135">
        <v>120</v>
      </c>
      <c r="M95" s="135">
        <v>140</v>
      </c>
      <c r="N95" s="135">
        <v>160</v>
      </c>
      <c r="O95" s="135">
        <v>180</v>
      </c>
      <c r="P95" s="135">
        <v>200</v>
      </c>
      <c r="Q95" s="135">
        <v>225</v>
      </c>
      <c r="R95" s="135">
        <v>250</v>
      </c>
      <c r="S95" s="135">
        <v>280</v>
      </c>
      <c r="T95" s="135">
        <v>315</v>
      </c>
      <c r="U95" s="135">
        <v>355</v>
      </c>
      <c r="V95" s="135">
        <v>400</v>
      </c>
    </row>
    <row r="96" spans="1:22">
      <c r="B96" s="303" t="s">
        <v>359</v>
      </c>
      <c r="C96" s="303"/>
      <c r="D96" s="303"/>
      <c r="E96" s="303"/>
      <c r="F96" s="303"/>
      <c r="G96" s="303"/>
      <c r="H96" s="303"/>
      <c r="I96" s="303"/>
      <c r="J96" s="303"/>
      <c r="K96" s="303"/>
      <c r="L96" s="303"/>
      <c r="M96" s="303"/>
      <c r="N96" s="303"/>
      <c r="O96" s="303"/>
      <c r="P96" s="303"/>
      <c r="Q96" s="303"/>
      <c r="R96" s="303"/>
      <c r="S96" s="303"/>
      <c r="T96" s="303"/>
      <c r="U96" s="303"/>
      <c r="V96" s="303"/>
    </row>
    <row r="97" spans="2:22">
      <c r="B97" s="304" t="s">
        <v>318</v>
      </c>
      <c r="C97" s="136">
        <v>-270</v>
      </c>
      <c r="D97" s="136">
        <v>-280</v>
      </c>
      <c r="E97" s="136">
        <v>-290</v>
      </c>
      <c r="F97" s="136">
        <v>-300</v>
      </c>
      <c r="G97" s="136">
        <v>-310</v>
      </c>
      <c r="H97" s="136">
        <v>-320</v>
      </c>
      <c r="I97" s="136">
        <v>-340</v>
      </c>
      <c r="J97" s="136">
        <v>-360</v>
      </c>
      <c r="K97" s="136">
        <v>-380</v>
      </c>
      <c r="L97" s="136">
        <v>-410</v>
      </c>
      <c r="M97" s="136">
        <v>-460</v>
      </c>
      <c r="N97" s="136">
        <v>-520</v>
      </c>
      <c r="O97" s="136">
        <v>-580</v>
      </c>
      <c r="P97" s="136">
        <v>-660</v>
      </c>
      <c r="Q97" s="136">
        <v>-740</v>
      </c>
      <c r="R97" s="136">
        <v>-820</v>
      </c>
      <c r="S97" s="136">
        <v>-920</v>
      </c>
      <c r="T97" s="136">
        <v>-1050</v>
      </c>
      <c r="U97" s="136">
        <v>-1200</v>
      </c>
      <c r="V97" s="136">
        <v>-1350</v>
      </c>
    </row>
    <row r="98" spans="2:22">
      <c r="B98" s="304"/>
      <c r="C98" s="136">
        <v>-390</v>
      </c>
      <c r="D98" s="136">
        <v>-430</v>
      </c>
      <c r="E98" s="136">
        <v>-470</v>
      </c>
      <c r="F98" s="136">
        <v>-510</v>
      </c>
      <c r="G98" s="136">
        <v>-560</v>
      </c>
      <c r="H98" s="136">
        <v>-570</v>
      </c>
      <c r="I98" s="136">
        <v>-640</v>
      </c>
      <c r="J98" s="136">
        <v>-660</v>
      </c>
      <c r="K98" s="136">
        <v>-730</v>
      </c>
      <c r="L98" s="136">
        <v>-760</v>
      </c>
      <c r="M98" s="136">
        <v>-860</v>
      </c>
      <c r="N98" s="136">
        <v>-920</v>
      </c>
      <c r="O98" s="136">
        <v>-980</v>
      </c>
      <c r="P98" s="136">
        <v>-1120</v>
      </c>
      <c r="Q98" s="136">
        <v>-1200</v>
      </c>
      <c r="R98" s="136">
        <v>-1280</v>
      </c>
      <c r="S98" s="136">
        <v>-1440</v>
      </c>
      <c r="T98" s="136">
        <v>-1570</v>
      </c>
      <c r="U98" s="136">
        <v>-1770</v>
      </c>
      <c r="V98" s="136">
        <v>-1920</v>
      </c>
    </row>
    <row r="99" spans="2:22">
      <c r="B99" s="304" t="s">
        <v>319</v>
      </c>
      <c r="C99" s="135">
        <v>-30</v>
      </c>
      <c r="D99" s="135">
        <v>-40</v>
      </c>
      <c r="E99" s="135">
        <v>-50</v>
      </c>
      <c r="F99" s="135">
        <v>-65</v>
      </c>
      <c r="G99" s="135">
        <v>-80</v>
      </c>
      <c r="H99" s="135">
        <f>G99</f>
        <v>-80</v>
      </c>
      <c r="I99" s="135">
        <v>-100</v>
      </c>
      <c r="J99" s="135">
        <f>I99</f>
        <v>-100</v>
      </c>
      <c r="K99" s="135">
        <v>-120</v>
      </c>
      <c r="L99" s="135">
        <f>K99</f>
        <v>-120</v>
      </c>
      <c r="M99" s="135">
        <v>-145</v>
      </c>
      <c r="N99" s="135">
        <f>M99</f>
        <v>-145</v>
      </c>
      <c r="O99" s="135">
        <f>N99</f>
        <v>-145</v>
      </c>
      <c r="P99" s="135">
        <v>-170</v>
      </c>
      <c r="Q99" s="135">
        <f>P99</f>
        <v>-170</v>
      </c>
      <c r="R99" s="135">
        <f>Q99</f>
        <v>-170</v>
      </c>
      <c r="S99" s="135">
        <v>-190</v>
      </c>
      <c r="T99" s="135">
        <f>S99</f>
        <v>-190</v>
      </c>
      <c r="U99" s="135">
        <v>-210</v>
      </c>
      <c r="V99" s="135">
        <f>U99</f>
        <v>-210</v>
      </c>
    </row>
    <row r="100" spans="2:22">
      <c r="B100" s="304"/>
      <c r="C100" s="135">
        <v>-38</v>
      </c>
      <c r="D100" s="135">
        <v>-49</v>
      </c>
      <c r="E100" s="135">
        <v>-61</v>
      </c>
      <c r="F100" s="135">
        <v>-78</v>
      </c>
      <c r="G100" s="135">
        <v>-96</v>
      </c>
      <c r="H100" s="135">
        <f t="shared" ref="H100:H163" si="1">G100</f>
        <v>-96</v>
      </c>
      <c r="I100" s="135">
        <v>-119</v>
      </c>
      <c r="J100" s="135">
        <f t="shared" ref="J100:J163" si="2">I100</f>
        <v>-119</v>
      </c>
      <c r="K100" s="135">
        <v>-142</v>
      </c>
      <c r="L100" s="135">
        <f t="shared" ref="L100:L163" si="3">K100</f>
        <v>-142</v>
      </c>
      <c r="M100" s="135">
        <v>-170</v>
      </c>
      <c r="N100" s="135">
        <f t="shared" ref="N100:O163" si="4">M100</f>
        <v>-170</v>
      </c>
      <c r="O100" s="135">
        <f t="shared" si="4"/>
        <v>-170</v>
      </c>
      <c r="P100" s="135">
        <v>-199</v>
      </c>
      <c r="Q100" s="135">
        <f t="shared" ref="Q100:R163" si="5">P100</f>
        <v>-199</v>
      </c>
      <c r="R100" s="135">
        <f t="shared" si="5"/>
        <v>-199</v>
      </c>
      <c r="S100" s="135">
        <v>-222</v>
      </c>
      <c r="T100" s="135">
        <f t="shared" ref="T100:T163" si="6">S100</f>
        <v>-222</v>
      </c>
      <c r="U100" s="135">
        <v>-246</v>
      </c>
      <c r="V100" s="135">
        <f t="shared" ref="V100:V163" si="7">U100</f>
        <v>-246</v>
      </c>
    </row>
    <row r="101" spans="2:22">
      <c r="B101" s="304" t="s">
        <v>320</v>
      </c>
      <c r="C101" s="136">
        <v>-20</v>
      </c>
      <c r="D101" s="136">
        <v>-25</v>
      </c>
      <c r="E101" s="136">
        <v>-32</v>
      </c>
      <c r="F101" s="136">
        <v>-40</v>
      </c>
      <c r="G101" s="136">
        <v>-50</v>
      </c>
      <c r="H101" s="135">
        <f t="shared" si="1"/>
        <v>-50</v>
      </c>
      <c r="I101" s="136">
        <v>-60</v>
      </c>
      <c r="J101" s="135">
        <f t="shared" si="2"/>
        <v>-60</v>
      </c>
      <c r="K101" s="136">
        <v>-72</v>
      </c>
      <c r="L101" s="135">
        <f t="shared" si="3"/>
        <v>-72</v>
      </c>
      <c r="M101" s="136">
        <v>-85</v>
      </c>
      <c r="N101" s="135">
        <f t="shared" si="4"/>
        <v>-85</v>
      </c>
      <c r="O101" s="135">
        <f t="shared" si="4"/>
        <v>-85</v>
      </c>
      <c r="P101" s="136">
        <v>-100</v>
      </c>
      <c r="Q101" s="135">
        <f t="shared" si="5"/>
        <v>-100</v>
      </c>
      <c r="R101" s="135">
        <f t="shared" si="5"/>
        <v>-100</v>
      </c>
      <c r="S101" s="136">
        <v>-110</v>
      </c>
      <c r="T101" s="135">
        <f t="shared" si="6"/>
        <v>-110</v>
      </c>
      <c r="U101" s="136">
        <v>-125</v>
      </c>
      <c r="V101" s="135">
        <f t="shared" si="7"/>
        <v>-125</v>
      </c>
    </row>
    <row r="102" spans="2:22">
      <c r="B102" s="304"/>
      <c r="C102" s="136">
        <v>-28</v>
      </c>
      <c r="D102" s="136">
        <v>-34</v>
      </c>
      <c r="E102" s="136">
        <v>-43</v>
      </c>
      <c r="F102" s="136">
        <v>-53</v>
      </c>
      <c r="G102" s="136">
        <v>-66</v>
      </c>
      <c r="H102" s="135">
        <f t="shared" si="1"/>
        <v>-66</v>
      </c>
      <c r="I102" s="136">
        <v>-79</v>
      </c>
      <c r="J102" s="135">
        <f t="shared" si="2"/>
        <v>-79</v>
      </c>
      <c r="K102" s="136">
        <v>-94</v>
      </c>
      <c r="L102" s="135">
        <f t="shared" si="3"/>
        <v>-94</v>
      </c>
      <c r="M102" s="136">
        <v>-110</v>
      </c>
      <c r="N102" s="135">
        <f t="shared" si="4"/>
        <v>-110</v>
      </c>
      <c r="O102" s="135">
        <f t="shared" si="4"/>
        <v>-110</v>
      </c>
      <c r="P102" s="136">
        <v>-129</v>
      </c>
      <c r="Q102" s="135">
        <f t="shared" si="5"/>
        <v>-129</v>
      </c>
      <c r="R102" s="135">
        <f t="shared" si="5"/>
        <v>-129</v>
      </c>
      <c r="S102" s="136">
        <v>-142</v>
      </c>
      <c r="T102" s="135">
        <f t="shared" si="6"/>
        <v>-142</v>
      </c>
      <c r="U102" s="136">
        <v>-161</v>
      </c>
      <c r="V102" s="135">
        <f t="shared" si="7"/>
        <v>-161</v>
      </c>
    </row>
    <row r="103" spans="2:22">
      <c r="B103" s="304" t="s">
        <v>321</v>
      </c>
      <c r="C103" s="135">
        <v>-20</v>
      </c>
      <c r="D103" s="135">
        <v>-25</v>
      </c>
      <c r="E103" s="135">
        <v>-32</v>
      </c>
      <c r="F103" s="135">
        <v>-40</v>
      </c>
      <c r="G103" s="135">
        <v>-50</v>
      </c>
      <c r="H103" s="135">
        <f t="shared" si="1"/>
        <v>-50</v>
      </c>
      <c r="I103" s="135">
        <v>-60</v>
      </c>
      <c r="J103" s="135">
        <f t="shared" si="2"/>
        <v>-60</v>
      </c>
      <c r="K103" s="135">
        <v>-72</v>
      </c>
      <c r="L103" s="135">
        <f t="shared" si="3"/>
        <v>-72</v>
      </c>
      <c r="M103" s="135">
        <v>-85</v>
      </c>
      <c r="N103" s="135">
        <f t="shared" si="4"/>
        <v>-85</v>
      </c>
      <c r="O103" s="135">
        <f t="shared" si="4"/>
        <v>-85</v>
      </c>
      <c r="P103" s="135">
        <v>-100</v>
      </c>
      <c r="Q103" s="135">
        <f t="shared" si="5"/>
        <v>-100</v>
      </c>
      <c r="R103" s="135">
        <f t="shared" si="5"/>
        <v>-100</v>
      </c>
      <c r="S103" s="135">
        <v>-110</v>
      </c>
      <c r="T103" s="135">
        <f t="shared" si="6"/>
        <v>-110</v>
      </c>
      <c r="U103" s="135">
        <v>-125</v>
      </c>
      <c r="V103" s="135">
        <f t="shared" si="7"/>
        <v>-125</v>
      </c>
    </row>
    <row r="104" spans="2:22">
      <c r="B104" s="304"/>
      <c r="C104" s="135">
        <v>-200</v>
      </c>
      <c r="D104" s="135">
        <v>-245</v>
      </c>
      <c r="E104" s="135">
        <v>-302</v>
      </c>
      <c r="F104" s="135">
        <v>-370</v>
      </c>
      <c r="G104" s="135">
        <v>-440</v>
      </c>
      <c r="H104" s="135">
        <f t="shared" si="1"/>
        <v>-440</v>
      </c>
      <c r="I104" s="135">
        <v>-520</v>
      </c>
      <c r="J104" s="135">
        <f t="shared" si="2"/>
        <v>-520</v>
      </c>
      <c r="K104" s="135">
        <v>-612</v>
      </c>
      <c r="L104" s="135">
        <f t="shared" si="3"/>
        <v>-612</v>
      </c>
      <c r="M104" s="135">
        <v>-715</v>
      </c>
      <c r="N104" s="135">
        <f t="shared" si="4"/>
        <v>-715</v>
      </c>
      <c r="O104" s="135">
        <f t="shared" si="4"/>
        <v>-715</v>
      </c>
      <c r="P104" s="135">
        <v>-820</v>
      </c>
      <c r="Q104" s="135">
        <f t="shared" si="5"/>
        <v>-820</v>
      </c>
      <c r="R104" s="135">
        <f t="shared" si="5"/>
        <v>-820</v>
      </c>
      <c r="S104" s="135">
        <v>-920</v>
      </c>
      <c r="T104" s="135">
        <f t="shared" si="6"/>
        <v>-920</v>
      </c>
      <c r="U104" s="135">
        <v>-1015</v>
      </c>
      <c r="V104" s="135">
        <f t="shared" si="7"/>
        <v>-1015</v>
      </c>
    </row>
    <row r="105" spans="2:22">
      <c r="B105" s="304" t="s">
        <v>322</v>
      </c>
      <c r="C105" s="136">
        <v>-10</v>
      </c>
      <c r="D105" s="136">
        <v>-13</v>
      </c>
      <c r="E105" s="136">
        <v>-16</v>
      </c>
      <c r="F105" s="136">
        <v>-20</v>
      </c>
      <c r="G105" s="136">
        <v>-25</v>
      </c>
      <c r="H105" s="135">
        <f t="shared" si="1"/>
        <v>-25</v>
      </c>
      <c r="I105" s="136">
        <v>-30</v>
      </c>
      <c r="J105" s="135">
        <f t="shared" si="2"/>
        <v>-30</v>
      </c>
      <c r="K105" s="136">
        <v>-36</v>
      </c>
      <c r="L105" s="135">
        <f t="shared" si="3"/>
        <v>-36</v>
      </c>
      <c r="M105" s="136">
        <v>-43</v>
      </c>
      <c r="N105" s="135">
        <f t="shared" si="4"/>
        <v>-43</v>
      </c>
      <c r="O105" s="135">
        <f t="shared" si="4"/>
        <v>-43</v>
      </c>
      <c r="P105" s="136">
        <v>-50</v>
      </c>
      <c r="Q105" s="135">
        <f t="shared" si="5"/>
        <v>-50</v>
      </c>
      <c r="R105" s="135">
        <f t="shared" si="5"/>
        <v>-50</v>
      </c>
      <c r="S105" s="136">
        <v>-56</v>
      </c>
      <c r="T105" s="135">
        <f t="shared" si="6"/>
        <v>-56</v>
      </c>
      <c r="U105" s="136">
        <v>-62</v>
      </c>
      <c r="V105" s="135">
        <f t="shared" si="7"/>
        <v>-62</v>
      </c>
    </row>
    <row r="106" spans="2:22">
      <c r="B106" s="304"/>
      <c r="C106" s="136">
        <v>-15</v>
      </c>
      <c r="D106" s="136">
        <v>-19</v>
      </c>
      <c r="E106" s="136">
        <v>-24</v>
      </c>
      <c r="F106" s="136">
        <v>-29</v>
      </c>
      <c r="G106" s="136">
        <v>-36</v>
      </c>
      <c r="H106" s="135">
        <f t="shared" si="1"/>
        <v>-36</v>
      </c>
      <c r="I106" s="136">
        <v>-43</v>
      </c>
      <c r="J106" s="135">
        <f t="shared" si="2"/>
        <v>-43</v>
      </c>
      <c r="K106" s="136">
        <v>-51</v>
      </c>
      <c r="L106" s="135">
        <f t="shared" si="3"/>
        <v>-51</v>
      </c>
      <c r="M106" s="136">
        <v>-61</v>
      </c>
      <c r="N106" s="135">
        <f t="shared" si="4"/>
        <v>-61</v>
      </c>
      <c r="O106" s="135">
        <f t="shared" si="4"/>
        <v>-61</v>
      </c>
      <c r="P106" s="136">
        <v>-70</v>
      </c>
      <c r="Q106" s="135">
        <f t="shared" si="5"/>
        <v>-70</v>
      </c>
      <c r="R106" s="135">
        <f t="shared" si="5"/>
        <v>-70</v>
      </c>
      <c r="S106" s="136">
        <v>-79</v>
      </c>
      <c r="T106" s="135">
        <f t="shared" si="6"/>
        <v>-79</v>
      </c>
      <c r="U106" s="136">
        <v>-87</v>
      </c>
      <c r="V106" s="135">
        <f t="shared" si="7"/>
        <v>-87</v>
      </c>
    </row>
    <row r="107" spans="2:22">
      <c r="B107" s="304" t="s">
        <v>323</v>
      </c>
      <c r="C107" s="135">
        <v>-10</v>
      </c>
      <c r="D107" s="135">
        <v>-13</v>
      </c>
      <c r="E107" s="135">
        <v>-16</v>
      </c>
      <c r="F107" s="135">
        <v>-20</v>
      </c>
      <c r="G107" s="135">
        <v>-25</v>
      </c>
      <c r="H107" s="135">
        <f t="shared" si="1"/>
        <v>-25</v>
      </c>
      <c r="I107" s="135">
        <v>-30</v>
      </c>
      <c r="J107" s="135">
        <f t="shared" si="2"/>
        <v>-30</v>
      </c>
      <c r="K107" s="135">
        <v>-36</v>
      </c>
      <c r="L107" s="135">
        <f t="shared" si="3"/>
        <v>-36</v>
      </c>
      <c r="M107" s="135">
        <v>-43</v>
      </c>
      <c r="N107" s="135">
        <f t="shared" si="4"/>
        <v>-43</v>
      </c>
      <c r="O107" s="135">
        <f t="shared" si="4"/>
        <v>-43</v>
      </c>
      <c r="P107" s="135">
        <v>-50</v>
      </c>
      <c r="Q107" s="135">
        <f t="shared" si="5"/>
        <v>-50</v>
      </c>
      <c r="R107" s="135">
        <f t="shared" si="5"/>
        <v>-50</v>
      </c>
      <c r="S107" s="135">
        <v>-56</v>
      </c>
      <c r="T107" s="135">
        <f t="shared" si="6"/>
        <v>-56</v>
      </c>
      <c r="U107" s="135">
        <v>-62</v>
      </c>
      <c r="V107" s="135">
        <f t="shared" si="7"/>
        <v>-62</v>
      </c>
    </row>
    <row r="108" spans="2:22">
      <c r="B108" s="304"/>
      <c r="C108" s="135">
        <v>-18</v>
      </c>
      <c r="D108" s="135">
        <v>-22</v>
      </c>
      <c r="E108" s="135">
        <v>-27</v>
      </c>
      <c r="F108" s="135">
        <v>-33</v>
      </c>
      <c r="G108" s="135">
        <v>-41</v>
      </c>
      <c r="H108" s="135">
        <f t="shared" si="1"/>
        <v>-41</v>
      </c>
      <c r="I108" s="135">
        <v>-49</v>
      </c>
      <c r="J108" s="135">
        <f t="shared" si="2"/>
        <v>-49</v>
      </c>
      <c r="K108" s="135">
        <v>-58</v>
      </c>
      <c r="L108" s="135">
        <f t="shared" si="3"/>
        <v>-58</v>
      </c>
      <c r="M108" s="135">
        <v>-68</v>
      </c>
      <c r="N108" s="135">
        <f t="shared" si="4"/>
        <v>-68</v>
      </c>
      <c r="O108" s="135">
        <f t="shared" si="4"/>
        <v>-68</v>
      </c>
      <c r="P108" s="135">
        <v>-79</v>
      </c>
      <c r="Q108" s="135">
        <f t="shared" si="5"/>
        <v>-79</v>
      </c>
      <c r="R108" s="135">
        <f t="shared" si="5"/>
        <v>-79</v>
      </c>
      <c r="S108" s="135">
        <v>-88</v>
      </c>
      <c r="T108" s="135">
        <f t="shared" si="6"/>
        <v>-88</v>
      </c>
      <c r="U108" s="135">
        <v>-98</v>
      </c>
      <c r="V108" s="135">
        <f t="shared" si="7"/>
        <v>-98</v>
      </c>
    </row>
    <row r="109" spans="2:22">
      <c r="B109" s="304" t="s">
        <v>324</v>
      </c>
      <c r="C109" s="136">
        <v>-10</v>
      </c>
      <c r="D109" s="136">
        <v>-13</v>
      </c>
      <c r="E109" s="136">
        <v>-16</v>
      </c>
      <c r="F109" s="136">
        <v>-20</v>
      </c>
      <c r="G109" s="136">
        <v>-25</v>
      </c>
      <c r="H109" s="135">
        <f t="shared" si="1"/>
        <v>-25</v>
      </c>
      <c r="I109" s="136">
        <v>-30</v>
      </c>
      <c r="J109" s="135">
        <f t="shared" si="2"/>
        <v>-30</v>
      </c>
      <c r="K109" s="136">
        <v>-36</v>
      </c>
      <c r="L109" s="135">
        <f t="shared" si="3"/>
        <v>-36</v>
      </c>
      <c r="M109" s="136">
        <v>-43</v>
      </c>
      <c r="N109" s="135">
        <f t="shared" si="4"/>
        <v>-43</v>
      </c>
      <c r="O109" s="135">
        <f t="shared" si="4"/>
        <v>-43</v>
      </c>
      <c r="P109" s="136">
        <v>-50</v>
      </c>
      <c r="Q109" s="135">
        <f t="shared" si="5"/>
        <v>-50</v>
      </c>
      <c r="R109" s="135">
        <f t="shared" si="5"/>
        <v>-50</v>
      </c>
      <c r="S109" s="136">
        <v>-56</v>
      </c>
      <c r="T109" s="135">
        <f t="shared" si="6"/>
        <v>-56</v>
      </c>
      <c r="U109" s="136">
        <v>-62</v>
      </c>
      <c r="V109" s="135">
        <f t="shared" si="7"/>
        <v>-62</v>
      </c>
    </row>
    <row r="110" spans="2:22">
      <c r="B110" s="304"/>
      <c r="C110" s="136">
        <v>-22</v>
      </c>
      <c r="D110" s="136">
        <v>-28</v>
      </c>
      <c r="E110" s="136">
        <v>-34</v>
      </c>
      <c r="F110" s="136">
        <v>-41</v>
      </c>
      <c r="G110" s="136">
        <v>-50</v>
      </c>
      <c r="H110" s="135">
        <f t="shared" si="1"/>
        <v>-50</v>
      </c>
      <c r="I110" s="136">
        <v>-60</v>
      </c>
      <c r="J110" s="135">
        <f t="shared" si="2"/>
        <v>-60</v>
      </c>
      <c r="K110" s="136">
        <v>-71</v>
      </c>
      <c r="L110" s="135">
        <f t="shared" si="3"/>
        <v>-71</v>
      </c>
      <c r="M110" s="136">
        <v>-83</v>
      </c>
      <c r="N110" s="135">
        <f t="shared" si="4"/>
        <v>-83</v>
      </c>
      <c r="O110" s="135">
        <f t="shared" si="4"/>
        <v>-83</v>
      </c>
      <c r="P110" s="136">
        <v>-96</v>
      </c>
      <c r="Q110" s="135">
        <f t="shared" si="5"/>
        <v>-96</v>
      </c>
      <c r="R110" s="135">
        <f t="shared" si="5"/>
        <v>-96</v>
      </c>
      <c r="S110" s="136">
        <v>-108</v>
      </c>
      <c r="T110" s="135">
        <f t="shared" si="6"/>
        <v>-108</v>
      </c>
      <c r="U110" s="136">
        <v>-119</v>
      </c>
      <c r="V110" s="135">
        <f t="shared" si="7"/>
        <v>-119</v>
      </c>
    </row>
    <row r="111" spans="2:22">
      <c r="B111" s="304" t="s">
        <v>325</v>
      </c>
      <c r="C111" s="135">
        <v>-4</v>
      </c>
      <c r="D111" s="135">
        <v>-5</v>
      </c>
      <c r="E111" s="135">
        <v>-6</v>
      </c>
      <c r="F111" s="135">
        <v>-7</v>
      </c>
      <c r="G111" s="135">
        <v>-9</v>
      </c>
      <c r="H111" s="135">
        <f t="shared" si="1"/>
        <v>-9</v>
      </c>
      <c r="I111" s="135">
        <v>-10</v>
      </c>
      <c r="J111" s="135">
        <f t="shared" si="2"/>
        <v>-10</v>
      </c>
      <c r="K111" s="135">
        <v>-12</v>
      </c>
      <c r="L111" s="135">
        <f t="shared" si="3"/>
        <v>-12</v>
      </c>
      <c r="M111" s="135">
        <v>-14</v>
      </c>
      <c r="N111" s="135">
        <f t="shared" si="4"/>
        <v>-14</v>
      </c>
      <c r="O111" s="135">
        <f t="shared" si="4"/>
        <v>-14</v>
      </c>
      <c r="P111" s="135">
        <v>-15</v>
      </c>
      <c r="Q111" s="135">
        <f t="shared" si="5"/>
        <v>-15</v>
      </c>
      <c r="R111" s="135">
        <f t="shared" si="5"/>
        <v>-15</v>
      </c>
      <c r="S111" s="135">
        <v>-17</v>
      </c>
      <c r="T111" s="135">
        <f t="shared" si="6"/>
        <v>-17</v>
      </c>
      <c r="U111" s="135">
        <v>-18</v>
      </c>
      <c r="V111" s="135">
        <f t="shared" si="7"/>
        <v>-18</v>
      </c>
    </row>
    <row r="112" spans="2:22">
      <c r="B112" s="304"/>
      <c r="C112" s="135">
        <v>-9</v>
      </c>
      <c r="D112" s="135">
        <v>-11</v>
      </c>
      <c r="E112" s="135">
        <v>-14</v>
      </c>
      <c r="F112" s="135">
        <v>-16</v>
      </c>
      <c r="G112" s="135">
        <v>-20</v>
      </c>
      <c r="H112" s="135">
        <f t="shared" si="1"/>
        <v>-20</v>
      </c>
      <c r="I112" s="135">
        <v>-23</v>
      </c>
      <c r="J112" s="135">
        <f t="shared" si="2"/>
        <v>-23</v>
      </c>
      <c r="K112" s="135">
        <v>-27</v>
      </c>
      <c r="L112" s="135">
        <f t="shared" si="3"/>
        <v>-27</v>
      </c>
      <c r="M112" s="135">
        <v>-32</v>
      </c>
      <c r="N112" s="135">
        <f t="shared" si="4"/>
        <v>-32</v>
      </c>
      <c r="O112" s="135">
        <f t="shared" si="4"/>
        <v>-32</v>
      </c>
      <c r="P112" s="135">
        <v>-35</v>
      </c>
      <c r="Q112" s="135">
        <f t="shared" si="5"/>
        <v>-35</v>
      </c>
      <c r="R112" s="135">
        <f t="shared" si="5"/>
        <v>-35</v>
      </c>
      <c r="S112" s="135">
        <v>-40</v>
      </c>
      <c r="T112" s="135">
        <f t="shared" si="6"/>
        <v>-40</v>
      </c>
      <c r="U112" s="135">
        <v>-43</v>
      </c>
      <c r="V112" s="135">
        <f t="shared" si="7"/>
        <v>-43</v>
      </c>
    </row>
    <row r="113" spans="2:22">
      <c r="B113" s="304" t="s">
        <v>326</v>
      </c>
      <c r="C113" s="136">
        <v>-4</v>
      </c>
      <c r="D113" s="136">
        <v>-5</v>
      </c>
      <c r="E113" s="136">
        <v>-6</v>
      </c>
      <c r="F113" s="136">
        <v>-7</v>
      </c>
      <c r="G113" s="136">
        <v>-9</v>
      </c>
      <c r="H113" s="135">
        <f t="shared" si="1"/>
        <v>-9</v>
      </c>
      <c r="I113" s="136">
        <v>-10</v>
      </c>
      <c r="J113" s="135">
        <f t="shared" si="2"/>
        <v>-10</v>
      </c>
      <c r="K113" s="136">
        <v>-12</v>
      </c>
      <c r="L113" s="135">
        <f t="shared" si="3"/>
        <v>-12</v>
      </c>
      <c r="M113" s="136">
        <v>-14</v>
      </c>
      <c r="N113" s="135">
        <f t="shared" si="4"/>
        <v>-14</v>
      </c>
      <c r="O113" s="135">
        <f t="shared" si="4"/>
        <v>-14</v>
      </c>
      <c r="P113" s="136">
        <v>-15</v>
      </c>
      <c r="Q113" s="135">
        <f t="shared" si="5"/>
        <v>-15</v>
      </c>
      <c r="R113" s="135">
        <f t="shared" si="5"/>
        <v>-15</v>
      </c>
      <c r="S113" s="136">
        <v>-17</v>
      </c>
      <c r="T113" s="135">
        <f t="shared" si="6"/>
        <v>-17</v>
      </c>
      <c r="U113" s="136">
        <v>-18</v>
      </c>
      <c r="V113" s="135">
        <f t="shared" si="7"/>
        <v>-18</v>
      </c>
    </row>
    <row r="114" spans="2:22">
      <c r="B114" s="304"/>
      <c r="C114" s="136">
        <v>-12</v>
      </c>
      <c r="D114" s="136">
        <v>-14</v>
      </c>
      <c r="E114" s="136">
        <v>-17</v>
      </c>
      <c r="F114" s="136">
        <v>-20</v>
      </c>
      <c r="G114" s="136">
        <v>-25</v>
      </c>
      <c r="H114" s="135">
        <f t="shared" si="1"/>
        <v>-25</v>
      </c>
      <c r="I114" s="136">
        <v>-29</v>
      </c>
      <c r="J114" s="135">
        <f t="shared" si="2"/>
        <v>-29</v>
      </c>
      <c r="K114" s="136">
        <v>-34</v>
      </c>
      <c r="L114" s="135">
        <f t="shared" si="3"/>
        <v>-34</v>
      </c>
      <c r="M114" s="136">
        <v>-39</v>
      </c>
      <c r="N114" s="135">
        <f t="shared" si="4"/>
        <v>-39</v>
      </c>
      <c r="O114" s="135">
        <f t="shared" si="4"/>
        <v>-39</v>
      </c>
      <c r="P114" s="136">
        <v>-44</v>
      </c>
      <c r="Q114" s="135">
        <f t="shared" si="5"/>
        <v>-44</v>
      </c>
      <c r="R114" s="135">
        <f t="shared" si="5"/>
        <v>-44</v>
      </c>
      <c r="S114" s="136">
        <v>-49</v>
      </c>
      <c r="T114" s="135">
        <f t="shared" si="6"/>
        <v>-49</v>
      </c>
      <c r="U114" s="136">
        <v>-54</v>
      </c>
      <c r="V114" s="135">
        <f t="shared" si="7"/>
        <v>-54</v>
      </c>
    </row>
    <row r="115" spans="2:22">
      <c r="B115" s="304" t="s">
        <v>327</v>
      </c>
      <c r="C115" s="135">
        <v>-4</v>
      </c>
      <c r="D115" s="135">
        <v>-5</v>
      </c>
      <c r="E115" s="135">
        <v>-6</v>
      </c>
      <c r="F115" s="135">
        <v>-7</v>
      </c>
      <c r="G115" s="135">
        <v>-9</v>
      </c>
      <c r="H115" s="135">
        <f t="shared" si="1"/>
        <v>-9</v>
      </c>
      <c r="I115" s="135">
        <v>-10</v>
      </c>
      <c r="J115" s="135">
        <f t="shared" si="2"/>
        <v>-10</v>
      </c>
      <c r="K115" s="135">
        <v>-12</v>
      </c>
      <c r="L115" s="135">
        <f t="shared" si="3"/>
        <v>-12</v>
      </c>
      <c r="M115" s="135">
        <v>-14</v>
      </c>
      <c r="N115" s="135">
        <f t="shared" si="4"/>
        <v>-14</v>
      </c>
      <c r="O115" s="135">
        <f t="shared" si="4"/>
        <v>-14</v>
      </c>
      <c r="P115" s="135">
        <v>-15</v>
      </c>
      <c r="Q115" s="135">
        <f t="shared" si="5"/>
        <v>-15</v>
      </c>
      <c r="R115" s="135">
        <f t="shared" si="5"/>
        <v>-15</v>
      </c>
      <c r="S115" s="135">
        <v>-17</v>
      </c>
      <c r="T115" s="135">
        <f t="shared" si="6"/>
        <v>-17</v>
      </c>
      <c r="U115" s="135">
        <v>-18</v>
      </c>
      <c r="V115" s="135">
        <f t="shared" si="7"/>
        <v>-18</v>
      </c>
    </row>
    <row r="116" spans="2:22">
      <c r="B116" s="304"/>
      <c r="C116" s="135">
        <v>-16</v>
      </c>
      <c r="D116" s="135">
        <v>-20</v>
      </c>
      <c r="E116" s="135">
        <v>-24</v>
      </c>
      <c r="F116" s="135">
        <v>-28</v>
      </c>
      <c r="G116" s="135">
        <v>-34</v>
      </c>
      <c r="H116" s="135">
        <f t="shared" si="1"/>
        <v>-34</v>
      </c>
      <c r="I116" s="135">
        <v>-40</v>
      </c>
      <c r="J116" s="135">
        <f t="shared" si="2"/>
        <v>-40</v>
      </c>
      <c r="K116" s="135">
        <v>-47</v>
      </c>
      <c r="L116" s="135">
        <f t="shared" si="3"/>
        <v>-47</v>
      </c>
      <c r="M116" s="135">
        <v>-54</v>
      </c>
      <c r="N116" s="135">
        <f t="shared" si="4"/>
        <v>-54</v>
      </c>
      <c r="O116" s="135">
        <f t="shared" si="4"/>
        <v>-54</v>
      </c>
      <c r="P116" s="135">
        <v>-61</v>
      </c>
      <c r="Q116" s="135">
        <f t="shared" si="5"/>
        <v>-61</v>
      </c>
      <c r="R116" s="135">
        <f t="shared" si="5"/>
        <v>-61</v>
      </c>
      <c r="S116" s="135">
        <v>-69</v>
      </c>
      <c r="T116" s="135">
        <f t="shared" si="6"/>
        <v>-69</v>
      </c>
      <c r="U116" s="135">
        <v>-75</v>
      </c>
      <c r="V116" s="135">
        <f t="shared" si="7"/>
        <v>-75</v>
      </c>
    </row>
    <row r="117" spans="2:22">
      <c r="B117" s="304" t="s">
        <v>328</v>
      </c>
      <c r="C117" s="136">
        <v>0</v>
      </c>
      <c r="D117" s="136">
        <v>0</v>
      </c>
      <c r="E117" s="136">
        <v>0</v>
      </c>
      <c r="F117" s="136">
        <v>0</v>
      </c>
      <c r="G117" s="136">
        <v>0</v>
      </c>
      <c r="H117" s="135">
        <f t="shared" si="1"/>
        <v>0</v>
      </c>
      <c r="I117" s="136">
        <v>0</v>
      </c>
      <c r="J117" s="135">
        <f t="shared" si="2"/>
        <v>0</v>
      </c>
      <c r="K117" s="136">
        <v>0</v>
      </c>
      <c r="L117" s="135">
        <f t="shared" si="3"/>
        <v>0</v>
      </c>
      <c r="M117" s="136">
        <v>0</v>
      </c>
      <c r="N117" s="135">
        <f t="shared" si="4"/>
        <v>0</v>
      </c>
      <c r="O117" s="135">
        <f t="shared" si="4"/>
        <v>0</v>
      </c>
      <c r="P117" s="136">
        <v>0</v>
      </c>
      <c r="Q117" s="135">
        <f t="shared" si="5"/>
        <v>0</v>
      </c>
      <c r="R117" s="135">
        <f t="shared" si="5"/>
        <v>0</v>
      </c>
      <c r="S117" s="136">
        <v>0</v>
      </c>
      <c r="T117" s="135">
        <f t="shared" si="6"/>
        <v>0</v>
      </c>
      <c r="U117" s="136">
        <v>0</v>
      </c>
      <c r="V117" s="135">
        <f t="shared" si="7"/>
        <v>0</v>
      </c>
    </row>
    <row r="118" spans="2:22">
      <c r="B118" s="304"/>
      <c r="C118" s="136">
        <v>-4</v>
      </c>
      <c r="D118" s="136">
        <v>-4</v>
      </c>
      <c r="E118" s="136">
        <v>-5</v>
      </c>
      <c r="F118" s="136">
        <v>-6</v>
      </c>
      <c r="G118" s="136">
        <v>-7</v>
      </c>
      <c r="H118" s="135">
        <f t="shared" si="1"/>
        <v>-7</v>
      </c>
      <c r="I118" s="136">
        <v>-8</v>
      </c>
      <c r="J118" s="135">
        <f t="shared" si="2"/>
        <v>-8</v>
      </c>
      <c r="K118" s="136">
        <v>-10</v>
      </c>
      <c r="L118" s="135">
        <f t="shared" si="3"/>
        <v>-10</v>
      </c>
      <c r="M118" s="136">
        <v>-12</v>
      </c>
      <c r="N118" s="135">
        <f t="shared" si="4"/>
        <v>-12</v>
      </c>
      <c r="O118" s="135">
        <f t="shared" si="4"/>
        <v>-12</v>
      </c>
      <c r="P118" s="136">
        <v>-14</v>
      </c>
      <c r="Q118" s="135">
        <f t="shared" si="5"/>
        <v>-14</v>
      </c>
      <c r="R118" s="135">
        <f t="shared" si="5"/>
        <v>-14</v>
      </c>
      <c r="S118" s="136">
        <v>-16</v>
      </c>
      <c r="T118" s="135">
        <f t="shared" si="6"/>
        <v>-16</v>
      </c>
      <c r="U118" s="136">
        <v>-18</v>
      </c>
      <c r="V118" s="135">
        <f t="shared" si="7"/>
        <v>-18</v>
      </c>
    </row>
    <row r="119" spans="2:22">
      <c r="B119" s="304" t="s">
        <v>329</v>
      </c>
      <c r="C119" s="135">
        <v>0</v>
      </c>
      <c r="D119" s="135">
        <v>0</v>
      </c>
      <c r="E119" s="135">
        <v>0</v>
      </c>
      <c r="F119" s="135">
        <v>0</v>
      </c>
      <c r="G119" s="135">
        <v>0</v>
      </c>
      <c r="H119" s="135">
        <f t="shared" si="1"/>
        <v>0</v>
      </c>
      <c r="I119" s="135">
        <v>0</v>
      </c>
      <c r="J119" s="135">
        <f t="shared" si="2"/>
        <v>0</v>
      </c>
      <c r="K119" s="135">
        <v>0</v>
      </c>
      <c r="L119" s="135">
        <f t="shared" si="3"/>
        <v>0</v>
      </c>
      <c r="M119" s="135">
        <v>0</v>
      </c>
      <c r="N119" s="135">
        <f t="shared" si="4"/>
        <v>0</v>
      </c>
      <c r="O119" s="135">
        <f t="shared" si="4"/>
        <v>0</v>
      </c>
      <c r="P119" s="135">
        <v>0</v>
      </c>
      <c r="Q119" s="135">
        <f t="shared" si="5"/>
        <v>0</v>
      </c>
      <c r="R119" s="135">
        <f t="shared" si="5"/>
        <v>0</v>
      </c>
      <c r="S119" s="135">
        <v>0</v>
      </c>
      <c r="T119" s="135">
        <f t="shared" si="6"/>
        <v>0</v>
      </c>
      <c r="U119" s="135">
        <v>0</v>
      </c>
      <c r="V119" s="135">
        <f t="shared" si="7"/>
        <v>0</v>
      </c>
    </row>
    <row r="120" spans="2:22">
      <c r="B120" s="304"/>
      <c r="C120" s="135">
        <v>-5</v>
      </c>
      <c r="D120" s="135">
        <v>-6</v>
      </c>
      <c r="E120" s="135">
        <v>-8</v>
      </c>
      <c r="F120" s="135">
        <v>-9</v>
      </c>
      <c r="G120" s="135">
        <v>-11</v>
      </c>
      <c r="H120" s="135">
        <f t="shared" si="1"/>
        <v>-11</v>
      </c>
      <c r="I120" s="135">
        <v>-13</v>
      </c>
      <c r="J120" s="135">
        <f t="shared" si="2"/>
        <v>-13</v>
      </c>
      <c r="K120" s="135">
        <v>-15</v>
      </c>
      <c r="L120" s="135">
        <f t="shared" si="3"/>
        <v>-15</v>
      </c>
      <c r="M120" s="135">
        <v>-18</v>
      </c>
      <c r="N120" s="135">
        <f t="shared" si="4"/>
        <v>-18</v>
      </c>
      <c r="O120" s="135">
        <f t="shared" si="4"/>
        <v>-18</v>
      </c>
      <c r="P120" s="135">
        <v>-20</v>
      </c>
      <c r="Q120" s="135">
        <f t="shared" si="5"/>
        <v>-20</v>
      </c>
      <c r="R120" s="135">
        <f t="shared" si="5"/>
        <v>-20</v>
      </c>
      <c r="S120" s="135">
        <v>-23</v>
      </c>
      <c r="T120" s="135">
        <f t="shared" si="6"/>
        <v>-23</v>
      </c>
      <c r="U120" s="135">
        <v>-25</v>
      </c>
      <c r="V120" s="135">
        <f t="shared" si="7"/>
        <v>-25</v>
      </c>
    </row>
    <row r="121" spans="2:22">
      <c r="B121" s="304" t="s">
        <v>330</v>
      </c>
      <c r="C121" s="136">
        <v>0</v>
      </c>
      <c r="D121" s="136">
        <v>0</v>
      </c>
      <c r="E121" s="136">
        <v>0</v>
      </c>
      <c r="F121" s="136">
        <v>0</v>
      </c>
      <c r="G121" s="136">
        <v>0</v>
      </c>
      <c r="H121" s="135">
        <f t="shared" si="1"/>
        <v>0</v>
      </c>
      <c r="I121" s="136">
        <v>0</v>
      </c>
      <c r="J121" s="135">
        <f t="shared" si="2"/>
        <v>0</v>
      </c>
      <c r="K121" s="136">
        <v>0</v>
      </c>
      <c r="L121" s="135">
        <f t="shared" si="3"/>
        <v>0</v>
      </c>
      <c r="M121" s="136">
        <v>0</v>
      </c>
      <c r="N121" s="135">
        <f t="shared" si="4"/>
        <v>0</v>
      </c>
      <c r="O121" s="135">
        <f t="shared" si="4"/>
        <v>0</v>
      </c>
      <c r="P121" s="136">
        <v>0</v>
      </c>
      <c r="Q121" s="135">
        <f t="shared" si="5"/>
        <v>0</v>
      </c>
      <c r="R121" s="135">
        <f t="shared" si="5"/>
        <v>0</v>
      </c>
      <c r="S121" s="136">
        <v>0</v>
      </c>
      <c r="T121" s="135">
        <f t="shared" si="6"/>
        <v>0</v>
      </c>
      <c r="U121" s="136">
        <v>0</v>
      </c>
      <c r="V121" s="135">
        <f t="shared" si="7"/>
        <v>0</v>
      </c>
    </row>
    <row r="122" spans="2:22">
      <c r="B122" s="304"/>
      <c r="C122" s="136">
        <v>-8</v>
      </c>
      <c r="D122" s="136">
        <v>-9</v>
      </c>
      <c r="E122" s="136">
        <v>-11</v>
      </c>
      <c r="F122" s="136">
        <v>-13</v>
      </c>
      <c r="G122" s="136">
        <v>-16</v>
      </c>
      <c r="H122" s="135">
        <f t="shared" si="1"/>
        <v>-16</v>
      </c>
      <c r="I122" s="136">
        <v>-19</v>
      </c>
      <c r="J122" s="135">
        <f t="shared" si="2"/>
        <v>-19</v>
      </c>
      <c r="K122" s="136">
        <v>-22</v>
      </c>
      <c r="L122" s="135">
        <f t="shared" si="3"/>
        <v>-22</v>
      </c>
      <c r="M122" s="136">
        <v>-25</v>
      </c>
      <c r="N122" s="135">
        <f t="shared" si="4"/>
        <v>-25</v>
      </c>
      <c r="O122" s="135">
        <f t="shared" si="4"/>
        <v>-25</v>
      </c>
      <c r="P122" s="136">
        <v>-29</v>
      </c>
      <c r="Q122" s="135">
        <f t="shared" si="5"/>
        <v>-29</v>
      </c>
      <c r="R122" s="135">
        <f t="shared" si="5"/>
        <v>-29</v>
      </c>
      <c r="S122" s="136">
        <v>-32</v>
      </c>
      <c r="T122" s="135">
        <f t="shared" si="6"/>
        <v>-32</v>
      </c>
      <c r="U122" s="136">
        <v>-36</v>
      </c>
      <c r="V122" s="135">
        <f t="shared" si="7"/>
        <v>-36</v>
      </c>
    </row>
    <row r="123" spans="2:22">
      <c r="B123" s="304" t="s">
        <v>331</v>
      </c>
      <c r="C123" s="135">
        <v>0</v>
      </c>
      <c r="D123" s="135">
        <v>0</v>
      </c>
      <c r="E123" s="135">
        <v>0</v>
      </c>
      <c r="F123" s="135">
        <v>0</v>
      </c>
      <c r="G123" s="135">
        <v>0</v>
      </c>
      <c r="H123" s="135">
        <f t="shared" si="1"/>
        <v>0</v>
      </c>
      <c r="I123" s="135">
        <v>0</v>
      </c>
      <c r="J123" s="135">
        <f t="shared" si="2"/>
        <v>0</v>
      </c>
      <c r="K123" s="135">
        <v>0</v>
      </c>
      <c r="L123" s="135">
        <f t="shared" si="3"/>
        <v>0</v>
      </c>
      <c r="M123" s="135">
        <v>0</v>
      </c>
      <c r="N123" s="135">
        <f t="shared" si="4"/>
        <v>0</v>
      </c>
      <c r="O123" s="135">
        <f t="shared" si="4"/>
        <v>0</v>
      </c>
      <c r="P123" s="135">
        <v>0</v>
      </c>
      <c r="Q123" s="135">
        <f t="shared" si="5"/>
        <v>0</v>
      </c>
      <c r="R123" s="135">
        <f t="shared" si="5"/>
        <v>0</v>
      </c>
      <c r="S123" s="135">
        <v>0</v>
      </c>
      <c r="T123" s="135">
        <f t="shared" si="6"/>
        <v>0</v>
      </c>
      <c r="U123" s="135">
        <v>0</v>
      </c>
      <c r="V123" s="135">
        <f t="shared" si="7"/>
        <v>0</v>
      </c>
    </row>
    <row r="124" spans="2:22">
      <c r="B124" s="304"/>
      <c r="C124" s="135">
        <v>-12</v>
      </c>
      <c r="D124" s="135">
        <v>-15</v>
      </c>
      <c r="E124" s="135">
        <v>-18</v>
      </c>
      <c r="F124" s="135">
        <v>-21</v>
      </c>
      <c r="G124" s="135">
        <v>-25</v>
      </c>
      <c r="H124" s="135">
        <f t="shared" si="1"/>
        <v>-25</v>
      </c>
      <c r="I124" s="135">
        <v>-30</v>
      </c>
      <c r="J124" s="135">
        <f t="shared" si="2"/>
        <v>-30</v>
      </c>
      <c r="K124" s="135">
        <v>-35</v>
      </c>
      <c r="L124" s="135">
        <f t="shared" si="3"/>
        <v>-35</v>
      </c>
      <c r="M124" s="135">
        <v>-40</v>
      </c>
      <c r="N124" s="135">
        <f t="shared" si="4"/>
        <v>-40</v>
      </c>
      <c r="O124" s="135">
        <f t="shared" si="4"/>
        <v>-40</v>
      </c>
      <c r="P124" s="135">
        <v>-46</v>
      </c>
      <c r="Q124" s="135">
        <f t="shared" si="5"/>
        <v>-46</v>
      </c>
      <c r="R124" s="135">
        <f t="shared" si="5"/>
        <v>-46</v>
      </c>
      <c r="S124" s="135">
        <v>-52</v>
      </c>
      <c r="T124" s="135">
        <f t="shared" si="6"/>
        <v>-52</v>
      </c>
      <c r="U124" s="135">
        <v>-57</v>
      </c>
      <c r="V124" s="135">
        <f t="shared" si="7"/>
        <v>-57</v>
      </c>
    </row>
    <row r="125" spans="2:22">
      <c r="B125" s="304" t="s">
        <v>332</v>
      </c>
      <c r="C125" s="136">
        <v>0</v>
      </c>
      <c r="D125" s="136">
        <v>0</v>
      </c>
      <c r="E125" s="136">
        <v>0</v>
      </c>
      <c r="F125" s="136">
        <v>0</v>
      </c>
      <c r="G125" s="136">
        <v>0</v>
      </c>
      <c r="H125" s="135">
        <f t="shared" si="1"/>
        <v>0</v>
      </c>
      <c r="I125" s="136">
        <v>0</v>
      </c>
      <c r="J125" s="135">
        <f t="shared" si="2"/>
        <v>0</v>
      </c>
      <c r="K125" s="136">
        <v>0</v>
      </c>
      <c r="L125" s="135">
        <f t="shared" si="3"/>
        <v>0</v>
      </c>
      <c r="M125" s="136">
        <v>0</v>
      </c>
      <c r="N125" s="135">
        <f t="shared" si="4"/>
        <v>0</v>
      </c>
      <c r="O125" s="135">
        <f t="shared" si="4"/>
        <v>0</v>
      </c>
      <c r="P125" s="136">
        <v>0</v>
      </c>
      <c r="Q125" s="135">
        <f t="shared" si="5"/>
        <v>0</v>
      </c>
      <c r="R125" s="135">
        <f t="shared" si="5"/>
        <v>0</v>
      </c>
      <c r="S125" s="136">
        <v>0</v>
      </c>
      <c r="T125" s="135">
        <f t="shared" si="6"/>
        <v>0</v>
      </c>
      <c r="U125" s="136">
        <v>0</v>
      </c>
      <c r="V125" s="135">
        <f t="shared" si="7"/>
        <v>0</v>
      </c>
    </row>
    <row r="126" spans="2:22">
      <c r="B126" s="304"/>
      <c r="C126" s="136">
        <v>-18</v>
      </c>
      <c r="D126" s="136">
        <v>-22</v>
      </c>
      <c r="E126" s="136">
        <v>-27</v>
      </c>
      <c r="F126" s="136">
        <v>-33</v>
      </c>
      <c r="G126" s="136">
        <v>-39</v>
      </c>
      <c r="H126" s="135">
        <f t="shared" si="1"/>
        <v>-39</v>
      </c>
      <c r="I126" s="136">
        <v>-46</v>
      </c>
      <c r="J126" s="135">
        <f t="shared" si="2"/>
        <v>-46</v>
      </c>
      <c r="K126" s="136">
        <v>-54</v>
      </c>
      <c r="L126" s="135">
        <f t="shared" si="3"/>
        <v>-54</v>
      </c>
      <c r="M126" s="136">
        <v>-63</v>
      </c>
      <c r="N126" s="135">
        <f t="shared" si="4"/>
        <v>-63</v>
      </c>
      <c r="O126" s="135">
        <f t="shared" si="4"/>
        <v>-63</v>
      </c>
      <c r="P126" s="136">
        <v>-72</v>
      </c>
      <c r="Q126" s="135">
        <f t="shared" si="5"/>
        <v>-72</v>
      </c>
      <c r="R126" s="135">
        <f t="shared" si="5"/>
        <v>-72</v>
      </c>
      <c r="S126" s="136">
        <v>-81</v>
      </c>
      <c r="T126" s="135">
        <f t="shared" si="6"/>
        <v>-81</v>
      </c>
      <c r="U126" s="136">
        <v>-89</v>
      </c>
      <c r="V126" s="135">
        <f t="shared" si="7"/>
        <v>-89</v>
      </c>
    </row>
    <row r="127" spans="2:22">
      <c r="B127" s="304" t="s">
        <v>333</v>
      </c>
      <c r="C127" s="135">
        <v>0</v>
      </c>
      <c r="D127" s="135">
        <v>0</v>
      </c>
      <c r="E127" s="135">
        <v>0</v>
      </c>
      <c r="F127" s="135">
        <v>0</v>
      </c>
      <c r="G127" s="135">
        <v>0</v>
      </c>
      <c r="H127" s="135">
        <f t="shared" si="1"/>
        <v>0</v>
      </c>
      <c r="I127" s="135">
        <v>0</v>
      </c>
      <c r="J127" s="135">
        <f t="shared" si="2"/>
        <v>0</v>
      </c>
      <c r="K127" s="135">
        <v>0</v>
      </c>
      <c r="L127" s="135">
        <f t="shared" si="3"/>
        <v>0</v>
      </c>
      <c r="M127" s="135">
        <v>0</v>
      </c>
      <c r="N127" s="135">
        <f t="shared" si="4"/>
        <v>0</v>
      </c>
      <c r="O127" s="135">
        <f t="shared" si="4"/>
        <v>0</v>
      </c>
      <c r="P127" s="135">
        <v>0</v>
      </c>
      <c r="Q127" s="135">
        <f t="shared" si="5"/>
        <v>0</v>
      </c>
      <c r="R127" s="135">
        <f t="shared" si="5"/>
        <v>0</v>
      </c>
      <c r="S127" s="135">
        <v>0</v>
      </c>
      <c r="T127" s="135">
        <f t="shared" si="6"/>
        <v>0</v>
      </c>
      <c r="U127" s="135">
        <v>0</v>
      </c>
      <c r="V127" s="135">
        <f t="shared" si="7"/>
        <v>0</v>
      </c>
    </row>
    <row r="128" spans="2:22">
      <c r="B128" s="304"/>
      <c r="C128" s="135">
        <v>-30</v>
      </c>
      <c r="D128" s="135">
        <v>-36</v>
      </c>
      <c r="E128" s="135">
        <v>-43</v>
      </c>
      <c r="F128" s="135">
        <v>-52</v>
      </c>
      <c r="G128" s="135">
        <v>-62</v>
      </c>
      <c r="H128" s="135">
        <f t="shared" si="1"/>
        <v>-62</v>
      </c>
      <c r="I128" s="135">
        <v>-74</v>
      </c>
      <c r="J128" s="135">
        <f t="shared" si="2"/>
        <v>-74</v>
      </c>
      <c r="K128" s="135">
        <v>-87</v>
      </c>
      <c r="L128" s="135">
        <f t="shared" si="3"/>
        <v>-87</v>
      </c>
      <c r="M128" s="135">
        <v>-100</v>
      </c>
      <c r="N128" s="135">
        <f t="shared" si="4"/>
        <v>-100</v>
      </c>
      <c r="O128" s="135">
        <f t="shared" si="4"/>
        <v>-100</v>
      </c>
      <c r="P128" s="135">
        <v>-115</v>
      </c>
      <c r="Q128" s="135">
        <f t="shared" si="5"/>
        <v>-115</v>
      </c>
      <c r="R128" s="135">
        <f t="shared" si="5"/>
        <v>-115</v>
      </c>
      <c r="S128" s="135">
        <v>-130</v>
      </c>
      <c r="T128" s="135">
        <f t="shared" si="6"/>
        <v>-130</v>
      </c>
      <c r="U128" s="135">
        <v>-140</v>
      </c>
      <c r="V128" s="135">
        <f t="shared" si="7"/>
        <v>-140</v>
      </c>
    </row>
    <row r="129" spans="2:22">
      <c r="B129" s="304" t="s">
        <v>370</v>
      </c>
      <c r="C129" s="135">
        <v>0</v>
      </c>
      <c r="D129" s="135">
        <v>0</v>
      </c>
      <c r="E129" s="135">
        <v>0</v>
      </c>
      <c r="F129" s="135">
        <v>0</v>
      </c>
      <c r="G129" s="135">
        <v>0</v>
      </c>
      <c r="H129" s="135">
        <f t="shared" si="1"/>
        <v>0</v>
      </c>
      <c r="I129" s="135">
        <v>0</v>
      </c>
      <c r="J129" s="135">
        <f t="shared" si="2"/>
        <v>0</v>
      </c>
      <c r="K129" s="135">
        <v>0</v>
      </c>
      <c r="L129" s="135">
        <f t="shared" si="3"/>
        <v>0</v>
      </c>
      <c r="M129" s="135">
        <v>0</v>
      </c>
      <c r="N129" s="135">
        <f t="shared" si="4"/>
        <v>0</v>
      </c>
      <c r="O129" s="135">
        <f t="shared" si="4"/>
        <v>0</v>
      </c>
      <c r="P129" s="135">
        <v>0</v>
      </c>
      <c r="Q129" s="135">
        <f t="shared" si="5"/>
        <v>0</v>
      </c>
      <c r="R129" s="135">
        <f t="shared" si="5"/>
        <v>0</v>
      </c>
      <c r="S129" s="135">
        <v>0</v>
      </c>
      <c r="T129" s="135">
        <f t="shared" si="6"/>
        <v>0</v>
      </c>
      <c r="U129" s="135">
        <v>0</v>
      </c>
      <c r="V129" s="135">
        <f t="shared" si="7"/>
        <v>0</v>
      </c>
    </row>
    <row r="130" spans="2:22">
      <c r="B130" s="304"/>
      <c r="C130" s="135">
        <v>-48</v>
      </c>
      <c r="D130" s="135">
        <v>-58</v>
      </c>
      <c r="E130" s="135">
        <v>-70</v>
      </c>
      <c r="F130" s="135">
        <v>-84</v>
      </c>
      <c r="G130" s="135">
        <v>-100</v>
      </c>
      <c r="H130" s="135">
        <f t="shared" si="1"/>
        <v>-100</v>
      </c>
      <c r="I130" s="135">
        <v>-120</v>
      </c>
      <c r="J130" s="135">
        <f t="shared" si="2"/>
        <v>-120</v>
      </c>
      <c r="K130" s="135">
        <v>-140</v>
      </c>
      <c r="L130" s="135">
        <f t="shared" si="3"/>
        <v>-140</v>
      </c>
      <c r="M130" s="135">
        <v>-160</v>
      </c>
      <c r="N130" s="135">
        <f t="shared" si="4"/>
        <v>-160</v>
      </c>
      <c r="O130" s="135">
        <f t="shared" si="4"/>
        <v>-160</v>
      </c>
      <c r="P130" s="135">
        <v>-185</v>
      </c>
      <c r="Q130" s="135">
        <f t="shared" si="5"/>
        <v>-185</v>
      </c>
      <c r="R130" s="135">
        <f t="shared" si="5"/>
        <v>-185</v>
      </c>
      <c r="S130" s="135">
        <v>-210</v>
      </c>
      <c r="T130" s="135">
        <f t="shared" si="6"/>
        <v>-210</v>
      </c>
      <c r="U130" s="135">
        <v>-230</v>
      </c>
      <c r="V130" s="135">
        <f t="shared" si="7"/>
        <v>-230</v>
      </c>
    </row>
    <row r="131" spans="2:22">
      <c r="B131" s="304" t="s">
        <v>371</v>
      </c>
      <c r="C131" s="136">
        <v>0</v>
      </c>
      <c r="D131" s="136">
        <v>0</v>
      </c>
      <c r="E131" s="136">
        <v>0</v>
      </c>
      <c r="F131" s="136">
        <v>0</v>
      </c>
      <c r="G131" s="136">
        <v>0</v>
      </c>
      <c r="H131" s="135">
        <f t="shared" si="1"/>
        <v>0</v>
      </c>
      <c r="I131" s="136">
        <v>0</v>
      </c>
      <c r="J131" s="135">
        <f t="shared" si="2"/>
        <v>0</v>
      </c>
      <c r="K131" s="136">
        <v>0</v>
      </c>
      <c r="L131" s="135">
        <f t="shared" si="3"/>
        <v>0</v>
      </c>
      <c r="M131" s="136">
        <v>0</v>
      </c>
      <c r="N131" s="135">
        <f t="shared" si="4"/>
        <v>0</v>
      </c>
      <c r="O131" s="135">
        <f t="shared" si="4"/>
        <v>0</v>
      </c>
      <c r="P131" s="136">
        <v>0</v>
      </c>
      <c r="Q131" s="135">
        <f t="shared" si="5"/>
        <v>0</v>
      </c>
      <c r="R131" s="135">
        <f t="shared" si="5"/>
        <v>0</v>
      </c>
      <c r="S131" s="136">
        <v>0</v>
      </c>
      <c r="T131" s="135">
        <f t="shared" si="6"/>
        <v>0</v>
      </c>
      <c r="U131" s="136">
        <v>0</v>
      </c>
      <c r="V131" s="135">
        <f t="shared" si="7"/>
        <v>0</v>
      </c>
    </row>
    <row r="132" spans="2:22">
      <c r="B132" s="304"/>
      <c r="C132" s="136">
        <v>-75</v>
      </c>
      <c r="D132" s="136">
        <v>-90</v>
      </c>
      <c r="E132" s="136">
        <v>-110</v>
      </c>
      <c r="F132" s="136">
        <v>-130</v>
      </c>
      <c r="G132" s="136">
        <v>-160</v>
      </c>
      <c r="H132" s="135">
        <f t="shared" si="1"/>
        <v>-160</v>
      </c>
      <c r="I132" s="136">
        <v>-190</v>
      </c>
      <c r="J132" s="135">
        <f t="shared" si="2"/>
        <v>-190</v>
      </c>
      <c r="K132" s="136">
        <v>-220</v>
      </c>
      <c r="L132" s="135">
        <f t="shared" si="3"/>
        <v>-220</v>
      </c>
      <c r="M132" s="136">
        <v>-250</v>
      </c>
      <c r="N132" s="135">
        <f t="shared" si="4"/>
        <v>-250</v>
      </c>
      <c r="O132" s="135">
        <f t="shared" si="4"/>
        <v>-250</v>
      </c>
      <c r="P132" s="136">
        <v>-290</v>
      </c>
      <c r="Q132" s="135">
        <f t="shared" si="5"/>
        <v>-290</v>
      </c>
      <c r="R132" s="135">
        <f t="shared" si="5"/>
        <v>-290</v>
      </c>
      <c r="S132" s="136">
        <v>-320</v>
      </c>
      <c r="T132" s="135">
        <f t="shared" si="6"/>
        <v>-320</v>
      </c>
      <c r="U132" s="136">
        <v>-360</v>
      </c>
      <c r="V132" s="135">
        <f t="shared" si="7"/>
        <v>-360</v>
      </c>
    </row>
    <row r="133" spans="2:22">
      <c r="B133" s="304" t="s">
        <v>372</v>
      </c>
      <c r="C133" s="135">
        <v>0</v>
      </c>
      <c r="D133" s="135">
        <v>0</v>
      </c>
      <c r="E133" s="135">
        <v>0</v>
      </c>
      <c r="F133" s="135">
        <v>0</v>
      </c>
      <c r="G133" s="135">
        <v>0</v>
      </c>
      <c r="H133" s="135">
        <f t="shared" si="1"/>
        <v>0</v>
      </c>
      <c r="I133" s="135">
        <v>0</v>
      </c>
      <c r="J133" s="135">
        <f t="shared" si="2"/>
        <v>0</v>
      </c>
      <c r="K133" s="135">
        <v>0</v>
      </c>
      <c r="L133" s="135">
        <f t="shared" si="3"/>
        <v>0</v>
      </c>
      <c r="M133" s="135">
        <v>0</v>
      </c>
      <c r="N133" s="135">
        <f t="shared" si="4"/>
        <v>0</v>
      </c>
      <c r="O133" s="135">
        <f t="shared" si="4"/>
        <v>0</v>
      </c>
      <c r="P133" s="135">
        <v>0</v>
      </c>
      <c r="Q133" s="135">
        <f t="shared" si="5"/>
        <v>0</v>
      </c>
      <c r="R133" s="135">
        <f t="shared" si="5"/>
        <v>0</v>
      </c>
      <c r="S133" s="135">
        <v>0</v>
      </c>
      <c r="T133" s="135">
        <f t="shared" si="6"/>
        <v>0</v>
      </c>
      <c r="U133" s="135">
        <v>0</v>
      </c>
      <c r="V133" s="135">
        <f t="shared" si="7"/>
        <v>0</v>
      </c>
    </row>
    <row r="134" spans="2:22">
      <c r="B134" s="304"/>
      <c r="C134" s="135">
        <v>-120</v>
      </c>
      <c r="D134" s="135">
        <v>-150</v>
      </c>
      <c r="E134" s="135">
        <v>-180</v>
      </c>
      <c r="F134" s="135">
        <v>-210</v>
      </c>
      <c r="G134" s="135">
        <v>-250</v>
      </c>
      <c r="H134" s="135">
        <f t="shared" si="1"/>
        <v>-250</v>
      </c>
      <c r="I134" s="135">
        <v>-300</v>
      </c>
      <c r="J134" s="135">
        <f t="shared" si="2"/>
        <v>-300</v>
      </c>
      <c r="K134" s="135">
        <v>-350</v>
      </c>
      <c r="L134" s="135">
        <f t="shared" si="3"/>
        <v>-350</v>
      </c>
      <c r="M134" s="135">
        <v>-400</v>
      </c>
      <c r="N134" s="135">
        <f t="shared" si="4"/>
        <v>-400</v>
      </c>
      <c r="O134" s="135">
        <f t="shared" si="4"/>
        <v>-400</v>
      </c>
      <c r="P134" s="135">
        <v>-460</v>
      </c>
      <c r="Q134" s="135">
        <f t="shared" si="5"/>
        <v>-460</v>
      </c>
      <c r="R134" s="135">
        <f t="shared" si="5"/>
        <v>-460</v>
      </c>
      <c r="S134" s="135">
        <v>-520</v>
      </c>
      <c r="T134" s="135">
        <f t="shared" si="6"/>
        <v>-520</v>
      </c>
      <c r="U134" s="135">
        <v>-570</v>
      </c>
      <c r="V134" s="135">
        <f t="shared" si="7"/>
        <v>-570</v>
      </c>
    </row>
    <row r="135" spans="2:22">
      <c r="B135" s="304" t="s">
        <v>334</v>
      </c>
      <c r="C135" s="136">
        <v>3</v>
      </c>
      <c r="D135" s="136">
        <v>4</v>
      </c>
      <c r="E135" s="136">
        <v>5</v>
      </c>
      <c r="F135" s="136">
        <v>5</v>
      </c>
      <c r="G135" s="136">
        <v>6</v>
      </c>
      <c r="H135" s="135">
        <f t="shared" si="1"/>
        <v>6</v>
      </c>
      <c r="I135" s="136">
        <v>6</v>
      </c>
      <c r="J135" s="135">
        <f t="shared" si="2"/>
        <v>6</v>
      </c>
      <c r="K135" s="136">
        <v>6</v>
      </c>
      <c r="L135" s="135">
        <f t="shared" si="3"/>
        <v>6</v>
      </c>
      <c r="M135" s="136">
        <v>7</v>
      </c>
      <c r="N135" s="135">
        <f t="shared" si="4"/>
        <v>7</v>
      </c>
      <c r="O135" s="135">
        <f t="shared" si="4"/>
        <v>7</v>
      </c>
      <c r="P135" s="136">
        <v>7</v>
      </c>
      <c r="Q135" s="135">
        <f t="shared" si="5"/>
        <v>7</v>
      </c>
      <c r="R135" s="135">
        <f t="shared" si="5"/>
        <v>7</v>
      </c>
      <c r="S135" s="136">
        <v>7</v>
      </c>
      <c r="T135" s="135">
        <f t="shared" si="6"/>
        <v>7</v>
      </c>
      <c r="U135" s="136">
        <v>7</v>
      </c>
      <c r="V135" s="135">
        <f t="shared" si="7"/>
        <v>7</v>
      </c>
    </row>
    <row r="136" spans="2:22">
      <c r="B136" s="304"/>
      <c r="C136" s="136">
        <v>-2</v>
      </c>
      <c r="D136" s="136">
        <v>-2</v>
      </c>
      <c r="E136" s="136">
        <v>-3</v>
      </c>
      <c r="F136" s="136">
        <v>-4</v>
      </c>
      <c r="G136" s="136">
        <v>-5</v>
      </c>
      <c r="H136" s="135">
        <f t="shared" si="1"/>
        <v>-5</v>
      </c>
      <c r="I136" s="136">
        <v>-7</v>
      </c>
      <c r="J136" s="135">
        <f t="shared" si="2"/>
        <v>-7</v>
      </c>
      <c r="K136" s="136">
        <v>-9</v>
      </c>
      <c r="L136" s="135">
        <f t="shared" si="3"/>
        <v>-9</v>
      </c>
      <c r="M136" s="136">
        <v>-11</v>
      </c>
      <c r="N136" s="135">
        <f t="shared" si="4"/>
        <v>-11</v>
      </c>
      <c r="O136" s="135">
        <f t="shared" si="4"/>
        <v>-11</v>
      </c>
      <c r="P136" s="136">
        <v>-13</v>
      </c>
      <c r="Q136" s="135">
        <f t="shared" si="5"/>
        <v>-13</v>
      </c>
      <c r="R136" s="135">
        <f t="shared" si="5"/>
        <v>-13</v>
      </c>
      <c r="S136" s="136">
        <v>-16</v>
      </c>
      <c r="T136" s="135">
        <f t="shared" si="6"/>
        <v>-16</v>
      </c>
      <c r="U136" s="136">
        <v>-18</v>
      </c>
      <c r="V136" s="135">
        <f t="shared" si="7"/>
        <v>-18</v>
      </c>
    </row>
    <row r="137" spans="2:22">
      <c r="B137" s="304" t="s">
        <v>335</v>
      </c>
      <c r="C137" s="135">
        <v>6</v>
      </c>
      <c r="D137" s="135">
        <v>7</v>
      </c>
      <c r="E137" s="135">
        <v>8</v>
      </c>
      <c r="F137" s="135">
        <v>9</v>
      </c>
      <c r="G137" s="135">
        <v>11</v>
      </c>
      <c r="H137" s="135">
        <f t="shared" si="1"/>
        <v>11</v>
      </c>
      <c r="I137" s="135">
        <v>12</v>
      </c>
      <c r="J137" s="135">
        <f t="shared" si="2"/>
        <v>12</v>
      </c>
      <c r="K137" s="135">
        <v>13</v>
      </c>
      <c r="L137" s="135">
        <f t="shared" si="3"/>
        <v>13</v>
      </c>
      <c r="M137" s="135">
        <v>14</v>
      </c>
      <c r="N137" s="135">
        <f t="shared" si="4"/>
        <v>14</v>
      </c>
      <c r="O137" s="135">
        <f t="shared" si="4"/>
        <v>14</v>
      </c>
      <c r="P137" s="135">
        <v>16</v>
      </c>
      <c r="Q137" s="135">
        <f t="shared" si="5"/>
        <v>16</v>
      </c>
      <c r="R137" s="135">
        <f t="shared" si="5"/>
        <v>16</v>
      </c>
      <c r="S137" s="135">
        <v>16</v>
      </c>
      <c r="T137" s="135">
        <f t="shared" si="6"/>
        <v>16</v>
      </c>
      <c r="U137" s="135">
        <v>18</v>
      </c>
      <c r="V137" s="135">
        <f t="shared" si="7"/>
        <v>18</v>
      </c>
    </row>
    <row r="138" spans="2:22">
      <c r="B138" s="304"/>
      <c r="C138" s="135">
        <v>-2</v>
      </c>
      <c r="D138" s="135">
        <v>-2</v>
      </c>
      <c r="E138" s="135">
        <v>-3</v>
      </c>
      <c r="F138" s="135">
        <v>-4</v>
      </c>
      <c r="G138" s="135">
        <v>-5</v>
      </c>
      <c r="H138" s="135">
        <f t="shared" si="1"/>
        <v>-5</v>
      </c>
      <c r="I138" s="135">
        <v>-7</v>
      </c>
      <c r="J138" s="135">
        <f t="shared" si="2"/>
        <v>-7</v>
      </c>
      <c r="K138" s="135">
        <v>-9</v>
      </c>
      <c r="L138" s="135">
        <f t="shared" si="3"/>
        <v>-9</v>
      </c>
      <c r="M138" s="135">
        <v>-11</v>
      </c>
      <c r="N138" s="135">
        <f t="shared" si="4"/>
        <v>-11</v>
      </c>
      <c r="O138" s="135">
        <f t="shared" si="4"/>
        <v>-11</v>
      </c>
      <c r="P138" s="135">
        <v>-13</v>
      </c>
      <c r="Q138" s="135">
        <f t="shared" si="5"/>
        <v>-13</v>
      </c>
      <c r="R138" s="135">
        <f t="shared" si="5"/>
        <v>-13</v>
      </c>
      <c r="S138" s="135">
        <v>-16</v>
      </c>
      <c r="T138" s="135">
        <f t="shared" si="6"/>
        <v>-16</v>
      </c>
      <c r="U138" s="135">
        <v>-18</v>
      </c>
      <c r="V138" s="135">
        <f t="shared" si="7"/>
        <v>-18</v>
      </c>
    </row>
    <row r="139" spans="2:22">
      <c r="B139" s="304" t="s">
        <v>336</v>
      </c>
      <c r="C139" s="136">
        <v>8</v>
      </c>
      <c r="D139" s="136">
        <v>10</v>
      </c>
      <c r="E139" s="136">
        <v>12</v>
      </c>
      <c r="F139" s="136">
        <v>13</v>
      </c>
      <c r="G139" s="136">
        <v>15</v>
      </c>
      <c r="H139" s="135">
        <f t="shared" si="1"/>
        <v>15</v>
      </c>
      <c r="I139" s="136">
        <v>18</v>
      </c>
      <c r="J139" s="135">
        <f t="shared" si="2"/>
        <v>18</v>
      </c>
      <c r="K139" s="136">
        <v>20</v>
      </c>
      <c r="L139" s="135">
        <f t="shared" si="3"/>
        <v>20</v>
      </c>
      <c r="M139" s="136">
        <v>22</v>
      </c>
      <c r="N139" s="135">
        <f t="shared" si="4"/>
        <v>22</v>
      </c>
      <c r="O139" s="135">
        <f t="shared" si="4"/>
        <v>22</v>
      </c>
      <c r="P139" s="136">
        <v>25</v>
      </c>
      <c r="Q139" s="135">
        <f t="shared" si="5"/>
        <v>25</v>
      </c>
      <c r="R139" s="135">
        <f t="shared" si="5"/>
        <v>25</v>
      </c>
      <c r="S139" s="136">
        <v>26</v>
      </c>
      <c r="T139" s="135">
        <f t="shared" si="6"/>
        <v>26</v>
      </c>
      <c r="U139" s="136">
        <v>29</v>
      </c>
      <c r="V139" s="135">
        <f t="shared" si="7"/>
        <v>29</v>
      </c>
    </row>
    <row r="140" spans="2:22">
      <c r="B140" s="304"/>
      <c r="C140" s="136">
        <v>-4</v>
      </c>
      <c r="D140" s="136">
        <v>-5</v>
      </c>
      <c r="E140" s="136">
        <v>-6</v>
      </c>
      <c r="F140" s="136">
        <v>-8</v>
      </c>
      <c r="G140" s="136">
        <v>-10</v>
      </c>
      <c r="H140" s="135">
        <f t="shared" si="1"/>
        <v>-10</v>
      </c>
      <c r="I140" s="136">
        <v>-12</v>
      </c>
      <c r="J140" s="135">
        <f t="shared" si="2"/>
        <v>-12</v>
      </c>
      <c r="K140" s="136">
        <v>-15</v>
      </c>
      <c r="L140" s="135">
        <f t="shared" si="3"/>
        <v>-15</v>
      </c>
      <c r="M140" s="136">
        <v>-18</v>
      </c>
      <c r="N140" s="135">
        <f t="shared" si="4"/>
        <v>-18</v>
      </c>
      <c r="O140" s="135">
        <f t="shared" si="4"/>
        <v>-18</v>
      </c>
      <c r="P140" s="136">
        <v>-21</v>
      </c>
      <c r="Q140" s="135">
        <f t="shared" si="5"/>
        <v>-21</v>
      </c>
      <c r="R140" s="135">
        <f t="shared" si="5"/>
        <v>-21</v>
      </c>
      <c r="S140" s="136">
        <v>-26</v>
      </c>
      <c r="T140" s="135">
        <f t="shared" si="6"/>
        <v>-26</v>
      </c>
      <c r="U140" s="136">
        <v>-28</v>
      </c>
      <c r="V140" s="135">
        <f t="shared" si="7"/>
        <v>-28</v>
      </c>
    </row>
    <row r="141" spans="2:22">
      <c r="B141" s="304" t="s">
        <v>337</v>
      </c>
      <c r="C141" s="135">
        <v>2.5</v>
      </c>
      <c r="D141" s="135">
        <v>3</v>
      </c>
      <c r="E141" s="135">
        <v>4</v>
      </c>
      <c r="F141" s="135">
        <v>4.5</v>
      </c>
      <c r="G141" s="135">
        <v>5.5</v>
      </c>
      <c r="H141" s="135">
        <f t="shared" si="1"/>
        <v>5.5</v>
      </c>
      <c r="I141" s="135">
        <v>6.5</v>
      </c>
      <c r="J141" s="135">
        <f t="shared" si="2"/>
        <v>6.5</v>
      </c>
      <c r="K141" s="135">
        <v>7.5</v>
      </c>
      <c r="L141" s="135">
        <f t="shared" si="3"/>
        <v>7.5</v>
      </c>
      <c r="M141" s="135">
        <v>9</v>
      </c>
      <c r="N141" s="135">
        <f t="shared" si="4"/>
        <v>9</v>
      </c>
      <c r="O141" s="135">
        <f t="shared" si="4"/>
        <v>9</v>
      </c>
      <c r="P141" s="135">
        <v>10</v>
      </c>
      <c r="Q141" s="135">
        <f t="shared" si="5"/>
        <v>10</v>
      </c>
      <c r="R141" s="135">
        <f t="shared" si="5"/>
        <v>10</v>
      </c>
      <c r="S141" s="135">
        <v>11.5</v>
      </c>
      <c r="T141" s="135">
        <f t="shared" si="6"/>
        <v>11.5</v>
      </c>
      <c r="U141" s="135">
        <v>12.5</v>
      </c>
      <c r="V141" s="135">
        <f t="shared" si="7"/>
        <v>12.5</v>
      </c>
    </row>
    <row r="142" spans="2:22">
      <c r="B142" s="304"/>
      <c r="C142" s="135">
        <v>-2.5</v>
      </c>
      <c r="D142" s="135">
        <v>-3</v>
      </c>
      <c r="E142" s="135">
        <v>-4</v>
      </c>
      <c r="F142" s="135">
        <v>-4.5</v>
      </c>
      <c r="G142" s="135">
        <v>-5.5</v>
      </c>
      <c r="H142" s="135">
        <f t="shared" si="1"/>
        <v>-5.5</v>
      </c>
      <c r="I142" s="135">
        <v>-6.5</v>
      </c>
      <c r="J142" s="135">
        <f t="shared" si="2"/>
        <v>-6.5</v>
      </c>
      <c r="K142" s="135">
        <v>-7.5</v>
      </c>
      <c r="L142" s="135">
        <f t="shared" si="3"/>
        <v>-7.5</v>
      </c>
      <c r="M142" s="135">
        <v>-9</v>
      </c>
      <c r="N142" s="135">
        <f t="shared" si="4"/>
        <v>-9</v>
      </c>
      <c r="O142" s="135">
        <f t="shared" si="4"/>
        <v>-9</v>
      </c>
      <c r="P142" s="135">
        <v>-10</v>
      </c>
      <c r="Q142" s="135">
        <f t="shared" si="5"/>
        <v>-10</v>
      </c>
      <c r="R142" s="135">
        <f t="shared" si="5"/>
        <v>-10</v>
      </c>
      <c r="S142" s="135">
        <v>-11.5</v>
      </c>
      <c r="T142" s="135">
        <f t="shared" si="6"/>
        <v>-11.5</v>
      </c>
      <c r="U142" s="135">
        <v>-12.5</v>
      </c>
      <c r="V142" s="135">
        <f t="shared" si="7"/>
        <v>-12.5</v>
      </c>
    </row>
    <row r="143" spans="2:22">
      <c r="B143" s="304" t="s">
        <v>338</v>
      </c>
      <c r="C143" s="136">
        <v>4</v>
      </c>
      <c r="D143" s="136">
        <v>4.5</v>
      </c>
      <c r="E143" s="136">
        <v>5.5</v>
      </c>
      <c r="F143" s="136">
        <v>6.5</v>
      </c>
      <c r="G143" s="136">
        <v>8</v>
      </c>
      <c r="H143" s="135">
        <f t="shared" si="1"/>
        <v>8</v>
      </c>
      <c r="I143" s="136">
        <v>9.5</v>
      </c>
      <c r="J143" s="135">
        <f t="shared" si="2"/>
        <v>9.5</v>
      </c>
      <c r="K143" s="136">
        <v>11</v>
      </c>
      <c r="L143" s="135">
        <f t="shared" si="3"/>
        <v>11</v>
      </c>
      <c r="M143" s="136">
        <v>12.5</v>
      </c>
      <c r="N143" s="135">
        <f t="shared" si="4"/>
        <v>12.5</v>
      </c>
      <c r="O143" s="135">
        <f t="shared" si="4"/>
        <v>12.5</v>
      </c>
      <c r="P143" s="136">
        <v>14.5</v>
      </c>
      <c r="Q143" s="135">
        <f t="shared" si="5"/>
        <v>14.5</v>
      </c>
      <c r="R143" s="135">
        <f t="shared" si="5"/>
        <v>14.5</v>
      </c>
      <c r="S143" s="136">
        <v>16</v>
      </c>
      <c r="T143" s="135">
        <f t="shared" si="6"/>
        <v>16</v>
      </c>
      <c r="U143" s="136">
        <v>18</v>
      </c>
      <c r="V143" s="135">
        <f t="shared" si="7"/>
        <v>18</v>
      </c>
    </row>
    <row r="144" spans="2:22">
      <c r="B144" s="304"/>
      <c r="C144" s="136">
        <v>-4</v>
      </c>
      <c r="D144" s="136">
        <v>-4.5</v>
      </c>
      <c r="E144" s="136">
        <v>-5.5</v>
      </c>
      <c r="F144" s="136">
        <v>-6.5</v>
      </c>
      <c r="G144" s="136">
        <v>-8</v>
      </c>
      <c r="H144" s="135">
        <f t="shared" si="1"/>
        <v>-8</v>
      </c>
      <c r="I144" s="136">
        <v>-9.5</v>
      </c>
      <c r="J144" s="135">
        <f t="shared" si="2"/>
        <v>-9.5</v>
      </c>
      <c r="K144" s="136">
        <v>-11</v>
      </c>
      <c r="L144" s="135">
        <f t="shared" si="3"/>
        <v>-11</v>
      </c>
      <c r="M144" s="136">
        <v>-12.5</v>
      </c>
      <c r="N144" s="135">
        <f t="shared" si="4"/>
        <v>-12.5</v>
      </c>
      <c r="O144" s="135">
        <f t="shared" si="4"/>
        <v>-12.5</v>
      </c>
      <c r="P144" s="136">
        <v>-14.5</v>
      </c>
      <c r="Q144" s="135">
        <f t="shared" si="5"/>
        <v>-14.5</v>
      </c>
      <c r="R144" s="135">
        <f t="shared" si="5"/>
        <v>-14.5</v>
      </c>
      <c r="S144" s="136">
        <v>-16</v>
      </c>
      <c r="T144" s="135">
        <f t="shared" si="6"/>
        <v>-16</v>
      </c>
      <c r="U144" s="136">
        <v>-18</v>
      </c>
      <c r="V144" s="135">
        <f t="shared" si="7"/>
        <v>-18</v>
      </c>
    </row>
    <row r="145" spans="2:22">
      <c r="B145" s="304" t="s">
        <v>339</v>
      </c>
      <c r="C145" s="135">
        <v>6</v>
      </c>
      <c r="D145" s="135">
        <v>7.5</v>
      </c>
      <c r="E145" s="135">
        <v>9</v>
      </c>
      <c r="F145" s="135">
        <v>10.5</v>
      </c>
      <c r="G145" s="135">
        <v>12.5</v>
      </c>
      <c r="H145" s="135">
        <f t="shared" si="1"/>
        <v>12.5</v>
      </c>
      <c r="I145" s="135">
        <v>15</v>
      </c>
      <c r="J145" s="135">
        <f t="shared" si="2"/>
        <v>15</v>
      </c>
      <c r="K145" s="135">
        <v>17.5</v>
      </c>
      <c r="L145" s="135">
        <f t="shared" si="3"/>
        <v>17.5</v>
      </c>
      <c r="M145" s="135">
        <v>20</v>
      </c>
      <c r="N145" s="135">
        <f t="shared" si="4"/>
        <v>20</v>
      </c>
      <c r="O145" s="135">
        <f t="shared" si="4"/>
        <v>20</v>
      </c>
      <c r="P145" s="135">
        <v>23</v>
      </c>
      <c r="Q145" s="135">
        <f t="shared" si="5"/>
        <v>23</v>
      </c>
      <c r="R145" s="135">
        <f t="shared" si="5"/>
        <v>23</v>
      </c>
      <c r="S145" s="135">
        <v>26</v>
      </c>
      <c r="T145" s="135">
        <f t="shared" si="6"/>
        <v>26</v>
      </c>
      <c r="U145" s="135">
        <v>28.5</v>
      </c>
      <c r="V145" s="135">
        <f t="shared" si="7"/>
        <v>28.5</v>
      </c>
    </row>
    <row r="146" spans="2:22">
      <c r="B146" s="304"/>
      <c r="C146" s="135">
        <v>-6</v>
      </c>
      <c r="D146" s="135">
        <v>-7.5</v>
      </c>
      <c r="E146" s="135">
        <v>-9</v>
      </c>
      <c r="F146" s="135">
        <v>-10.5</v>
      </c>
      <c r="G146" s="135">
        <v>-12.5</v>
      </c>
      <c r="H146" s="135">
        <f t="shared" si="1"/>
        <v>-12.5</v>
      </c>
      <c r="I146" s="135">
        <v>-15</v>
      </c>
      <c r="J146" s="135">
        <f t="shared" si="2"/>
        <v>-15</v>
      </c>
      <c r="K146" s="135">
        <v>-17.5</v>
      </c>
      <c r="L146" s="135">
        <f t="shared" si="3"/>
        <v>-17.5</v>
      </c>
      <c r="M146" s="135">
        <v>-20</v>
      </c>
      <c r="N146" s="135">
        <f t="shared" si="4"/>
        <v>-20</v>
      </c>
      <c r="O146" s="135">
        <f t="shared" si="4"/>
        <v>-20</v>
      </c>
      <c r="P146" s="135">
        <v>-23</v>
      </c>
      <c r="Q146" s="135">
        <f t="shared" si="5"/>
        <v>-23</v>
      </c>
      <c r="R146" s="135">
        <f t="shared" si="5"/>
        <v>-23</v>
      </c>
      <c r="S146" s="135">
        <v>-26</v>
      </c>
      <c r="T146" s="135">
        <f t="shared" si="6"/>
        <v>-26</v>
      </c>
      <c r="U146" s="135">
        <v>-28.5</v>
      </c>
      <c r="V146" s="135">
        <f t="shared" si="7"/>
        <v>-28.5</v>
      </c>
    </row>
    <row r="147" spans="2:22">
      <c r="B147" s="304" t="s">
        <v>340</v>
      </c>
      <c r="C147" s="136">
        <v>6</v>
      </c>
      <c r="D147" s="136">
        <v>7</v>
      </c>
      <c r="E147" s="136">
        <v>9</v>
      </c>
      <c r="F147" s="136">
        <v>11</v>
      </c>
      <c r="G147" s="136">
        <v>13</v>
      </c>
      <c r="H147" s="135">
        <f t="shared" si="1"/>
        <v>13</v>
      </c>
      <c r="I147" s="136">
        <v>15</v>
      </c>
      <c r="J147" s="135">
        <f t="shared" si="2"/>
        <v>15</v>
      </c>
      <c r="K147" s="136">
        <v>18</v>
      </c>
      <c r="L147" s="135">
        <f t="shared" si="3"/>
        <v>18</v>
      </c>
      <c r="M147" s="136">
        <v>21</v>
      </c>
      <c r="N147" s="135">
        <f t="shared" si="4"/>
        <v>21</v>
      </c>
      <c r="O147" s="135">
        <f t="shared" si="4"/>
        <v>21</v>
      </c>
      <c r="P147" s="136">
        <v>24</v>
      </c>
      <c r="Q147" s="135">
        <f t="shared" si="5"/>
        <v>24</v>
      </c>
      <c r="R147" s="135">
        <f t="shared" si="5"/>
        <v>24</v>
      </c>
      <c r="S147" s="136">
        <v>27</v>
      </c>
      <c r="T147" s="135">
        <f t="shared" si="6"/>
        <v>27</v>
      </c>
      <c r="U147" s="136">
        <v>29</v>
      </c>
      <c r="V147" s="135">
        <f t="shared" si="7"/>
        <v>29</v>
      </c>
    </row>
    <row r="148" spans="2:22">
      <c r="B148" s="304"/>
      <c r="C148" s="136">
        <v>1</v>
      </c>
      <c r="D148" s="136">
        <v>1</v>
      </c>
      <c r="E148" s="136">
        <v>1</v>
      </c>
      <c r="F148" s="136">
        <v>2</v>
      </c>
      <c r="G148" s="136">
        <v>2</v>
      </c>
      <c r="H148" s="135">
        <f t="shared" si="1"/>
        <v>2</v>
      </c>
      <c r="I148" s="136">
        <v>2</v>
      </c>
      <c r="J148" s="135">
        <f t="shared" si="2"/>
        <v>2</v>
      </c>
      <c r="K148" s="136">
        <v>3</v>
      </c>
      <c r="L148" s="135">
        <f t="shared" si="3"/>
        <v>3</v>
      </c>
      <c r="M148" s="136">
        <v>3</v>
      </c>
      <c r="N148" s="135">
        <f t="shared" si="4"/>
        <v>3</v>
      </c>
      <c r="O148" s="135">
        <f t="shared" si="4"/>
        <v>3</v>
      </c>
      <c r="P148" s="136">
        <v>4</v>
      </c>
      <c r="Q148" s="135">
        <f t="shared" si="5"/>
        <v>4</v>
      </c>
      <c r="R148" s="135">
        <f t="shared" si="5"/>
        <v>4</v>
      </c>
      <c r="S148" s="136">
        <v>4</v>
      </c>
      <c r="T148" s="135">
        <f t="shared" si="6"/>
        <v>4</v>
      </c>
      <c r="U148" s="136">
        <v>4</v>
      </c>
      <c r="V148" s="135">
        <f t="shared" si="7"/>
        <v>4</v>
      </c>
    </row>
    <row r="149" spans="2:22">
      <c r="B149" s="304" t="s">
        <v>341</v>
      </c>
      <c r="C149" s="135">
        <v>9</v>
      </c>
      <c r="D149" s="135">
        <v>10</v>
      </c>
      <c r="E149" s="135">
        <v>12</v>
      </c>
      <c r="F149" s="135">
        <v>15</v>
      </c>
      <c r="G149" s="135">
        <v>18</v>
      </c>
      <c r="H149" s="135">
        <f t="shared" si="1"/>
        <v>18</v>
      </c>
      <c r="I149" s="135">
        <v>21</v>
      </c>
      <c r="J149" s="135">
        <f t="shared" si="2"/>
        <v>21</v>
      </c>
      <c r="K149" s="135">
        <v>25</v>
      </c>
      <c r="L149" s="135">
        <f t="shared" si="3"/>
        <v>25</v>
      </c>
      <c r="M149" s="135">
        <v>28</v>
      </c>
      <c r="N149" s="135">
        <f t="shared" si="4"/>
        <v>28</v>
      </c>
      <c r="O149" s="135">
        <f t="shared" si="4"/>
        <v>28</v>
      </c>
      <c r="P149" s="135">
        <v>33</v>
      </c>
      <c r="Q149" s="135">
        <f t="shared" si="5"/>
        <v>33</v>
      </c>
      <c r="R149" s="135">
        <f t="shared" si="5"/>
        <v>33</v>
      </c>
      <c r="S149" s="135">
        <v>36</v>
      </c>
      <c r="T149" s="135">
        <f t="shared" si="6"/>
        <v>36</v>
      </c>
      <c r="U149" s="135">
        <v>40</v>
      </c>
      <c r="V149" s="135">
        <f t="shared" si="7"/>
        <v>40</v>
      </c>
    </row>
    <row r="150" spans="2:22">
      <c r="B150" s="304"/>
      <c r="C150" s="135">
        <v>1</v>
      </c>
      <c r="D150" s="135">
        <v>1</v>
      </c>
      <c r="E150" s="135">
        <v>1</v>
      </c>
      <c r="F150" s="135">
        <v>2</v>
      </c>
      <c r="G150" s="135">
        <v>2</v>
      </c>
      <c r="H150" s="135">
        <f t="shared" si="1"/>
        <v>2</v>
      </c>
      <c r="I150" s="135">
        <v>2</v>
      </c>
      <c r="J150" s="135">
        <f t="shared" si="2"/>
        <v>2</v>
      </c>
      <c r="K150" s="135">
        <v>3</v>
      </c>
      <c r="L150" s="135">
        <f t="shared" si="3"/>
        <v>3</v>
      </c>
      <c r="M150" s="135">
        <v>3</v>
      </c>
      <c r="N150" s="135">
        <f t="shared" si="4"/>
        <v>3</v>
      </c>
      <c r="O150" s="135">
        <f t="shared" si="4"/>
        <v>3</v>
      </c>
      <c r="P150" s="135">
        <v>4</v>
      </c>
      <c r="Q150" s="135">
        <f t="shared" si="5"/>
        <v>4</v>
      </c>
      <c r="R150" s="135">
        <f t="shared" si="5"/>
        <v>4</v>
      </c>
      <c r="S150" s="135">
        <v>4</v>
      </c>
      <c r="T150" s="135">
        <f t="shared" si="6"/>
        <v>4</v>
      </c>
      <c r="U150" s="135">
        <v>4</v>
      </c>
      <c r="V150" s="135">
        <f t="shared" si="7"/>
        <v>4</v>
      </c>
    </row>
    <row r="151" spans="2:22">
      <c r="B151" s="304" t="s">
        <v>342</v>
      </c>
      <c r="C151" s="136">
        <v>13</v>
      </c>
      <c r="D151" s="136">
        <v>16</v>
      </c>
      <c r="E151" s="136">
        <v>19</v>
      </c>
      <c r="F151" s="136">
        <v>23</v>
      </c>
      <c r="G151" s="136">
        <v>27</v>
      </c>
      <c r="H151" s="135">
        <f t="shared" si="1"/>
        <v>27</v>
      </c>
      <c r="I151" s="136">
        <v>32</v>
      </c>
      <c r="J151" s="135">
        <f t="shared" si="2"/>
        <v>32</v>
      </c>
      <c r="K151" s="136">
        <v>38</v>
      </c>
      <c r="L151" s="135">
        <f t="shared" si="3"/>
        <v>38</v>
      </c>
      <c r="M151" s="136">
        <v>43</v>
      </c>
      <c r="N151" s="135">
        <f t="shared" si="4"/>
        <v>43</v>
      </c>
      <c r="O151" s="135">
        <f t="shared" si="4"/>
        <v>43</v>
      </c>
      <c r="P151" s="136">
        <v>50</v>
      </c>
      <c r="Q151" s="135">
        <f t="shared" si="5"/>
        <v>50</v>
      </c>
      <c r="R151" s="135">
        <f t="shared" si="5"/>
        <v>50</v>
      </c>
      <c r="S151" s="136">
        <v>56</v>
      </c>
      <c r="T151" s="135">
        <f t="shared" si="6"/>
        <v>56</v>
      </c>
      <c r="U151" s="136">
        <v>61</v>
      </c>
      <c r="V151" s="135">
        <f t="shared" si="7"/>
        <v>61</v>
      </c>
    </row>
    <row r="152" spans="2:22">
      <c r="B152" s="304"/>
      <c r="C152" s="136">
        <v>1</v>
      </c>
      <c r="D152" s="136">
        <v>1</v>
      </c>
      <c r="E152" s="136">
        <v>1</v>
      </c>
      <c r="F152" s="136">
        <v>2</v>
      </c>
      <c r="G152" s="136">
        <v>2</v>
      </c>
      <c r="H152" s="135">
        <f t="shared" si="1"/>
        <v>2</v>
      </c>
      <c r="I152" s="136">
        <v>2</v>
      </c>
      <c r="J152" s="135">
        <f t="shared" si="2"/>
        <v>2</v>
      </c>
      <c r="K152" s="136">
        <v>3</v>
      </c>
      <c r="L152" s="135">
        <f t="shared" si="3"/>
        <v>3</v>
      </c>
      <c r="M152" s="136">
        <v>3</v>
      </c>
      <c r="N152" s="135">
        <f t="shared" si="4"/>
        <v>3</v>
      </c>
      <c r="O152" s="135">
        <f t="shared" si="4"/>
        <v>3</v>
      </c>
      <c r="P152" s="136">
        <v>4</v>
      </c>
      <c r="Q152" s="135">
        <f t="shared" si="5"/>
        <v>4</v>
      </c>
      <c r="R152" s="135">
        <f t="shared" si="5"/>
        <v>4</v>
      </c>
      <c r="S152" s="136">
        <v>4</v>
      </c>
      <c r="T152" s="135">
        <f t="shared" si="6"/>
        <v>4</v>
      </c>
      <c r="U152" s="136">
        <v>4</v>
      </c>
      <c r="V152" s="135">
        <f t="shared" si="7"/>
        <v>4</v>
      </c>
    </row>
    <row r="153" spans="2:22">
      <c r="B153" s="304" t="s">
        <v>343</v>
      </c>
      <c r="C153" s="135">
        <v>9</v>
      </c>
      <c r="D153" s="135">
        <v>12</v>
      </c>
      <c r="E153" s="135">
        <v>15</v>
      </c>
      <c r="F153" s="135">
        <v>17</v>
      </c>
      <c r="G153" s="135">
        <v>20</v>
      </c>
      <c r="H153" s="135">
        <f t="shared" si="1"/>
        <v>20</v>
      </c>
      <c r="I153" s="135">
        <v>24</v>
      </c>
      <c r="J153" s="135">
        <f t="shared" si="2"/>
        <v>24</v>
      </c>
      <c r="K153" s="135">
        <v>28</v>
      </c>
      <c r="L153" s="135">
        <f t="shared" si="3"/>
        <v>28</v>
      </c>
      <c r="M153" s="135">
        <v>33</v>
      </c>
      <c r="N153" s="135">
        <f t="shared" si="4"/>
        <v>33</v>
      </c>
      <c r="O153" s="135">
        <f t="shared" si="4"/>
        <v>33</v>
      </c>
      <c r="P153" s="135">
        <v>37</v>
      </c>
      <c r="Q153" s="135">
        <f t="shared" si="5"/>
        <v>37</v>
      </c>
      <c r="R153" s="135">
        <f t="shared" si="5"/>
        <v>37</v>
      </c>
      <c r="S153" s="135">
        <v>43</v>
      </c>
      <c r="T153" s="135">
        <f t="shared" si="6"/>
        <v>43</v>
      </c>
      <c r="U153" s="135">
        <v>46</v>
      </c>
      <c r="V153" s="135">
        <f t="shared" si="7"/>
        <v>46</v>
      </c>
    </row>
    <row r="154" spans="2:22">
      <c r="B154" s="304"/>
      <c r="C154" s="135">
        <v>4</v>
      </c>
      <c r="D154" s="135">
        <v>6</v>
      </c>
      <c r="E154" s="135">
        <v>7</v>
      </c>
      <c r="F154" s="135">
        <v>8</v>
      </c>
      <c r="G154" s="135">
        <v>9</v>
      </c>
      <c r="H154" s="135">
        <f t="shared" si="1"/>
        <v>9</v>
      </c>
      <c r="I154" s="135">
        <v>11</v>
      </c>
      <c r="J154" s="135">
        <f t="shared" si="2"/>
        <v>11</v>
      </c>
      <c r="K154" s="135">
        <v>13</v>
      </c>
      <c r="L154" s="135">
        <f t="shared" si="3"/>
        <v>13</v>
      </c>
      <c r="M154" s="135">
        <v>15</v>
      </c>
      <c r="N154" s="135">
        <f t="shared" si="4"/>
        <v>15</v>
      </c>
      <c r="O154" s="135">
        <f t="shared" si="4"/>
        <v>15</v>
      </c>
      <c r="P154" s="135">
        <v>17</v>
      </c>
      <c r="Q154" s="135">
        <f t="shared" si="5"/>
        <v>17</v>
      </c>
      <c r="R154" s="135">
        <f t="shared" si="5"/>
        <v>17</v>
      </c>
      <c r="S154" s="135">
        <v>20</v>
      </c>
      <c r="T154" s="135">
        <f t="shared" si="6"/>
        <v>20</v>
      </c>
      <c r="U154" s="135">
        <v>21</v>
      </c>
      <c r="V154" s="135">
        <f t="shared" si="7"/>
        <v>21</v>
      </c>
    </row>
    <row r="155" spans="2:22">
      <c r="B155" s="304" t="s">
        <v>344</v>
      </c>
      <c r="C155" s="136">
        <v>12</v>
      </c>
      <c r="D155" s="136">
        <v>15</v>
      </c>
      <c r="E155" s="136">
        <v>18</v>
      </c>
      <c r="F155" s="136">
        <v>21</v>
      </c>
      <c r="G155" s="136">
        <v>25</v>
      </c>
      <c r="H155" s="135">
        <f t="shared" si="1"/>
        <v>25</v>
      </c>
      <c r="I155" s="136">
        <v>30</v>
      </c>
      <c r="J155" s="135">
        <f t="shared" si="2"/>
        <v>30</v>
      </c>
      <c r="K155" s="136">
        <v>35</v>
      </c>
      <c r="L155" s="135">
        <f t="shared" si="3"/>
        <v>35</v>
      </c>
      <c r="M155" s="136">
        <v>40</v>
      </c>
      <c r="N155" s="135">
        <f t="shared" si="4"/>
        <v>40</v>
      </c>
      <c r="O155" s="135">
        <f t="shared" si="4"/>
        <v>40</v>
      </c>
      <c r="P155" s="136">
        <v>46</v>
      </c>
      <c r="Q155" s="135">
        <f t="shared" si="5"/>
        <v>46</v>
      </c>
      <c r="R155" s="135">
        <f t="shared" si="5"/>
        <v>46</v>
      </c>
      <c r="S155" s="136">
        <v>52</v>
      </c>
      <c r="T155" s="135">
        <f t="shared" si="6"/>
        <v>52</v>
      </c>
      <c r="U155" s="136">
        <v>57</v>
      </c>
      <c r="V155" s="135">
        <f t="shared" si="7"/>
        <v>57</v>
      </c>
    </row>
    <row r="156" spans="2:22">
      <c r="B156" s="304"/>
      <c r="C156" s="136">
        <v>4</v>
      </c>
      <c r="D156" s="136">
        <v>6</v>
      </c>
      <c r="E156" s="136">
        <v>7</v>
      </c>
      <c r="F156" s="136">
        <v>8</v>
      </c>
      <c r="G156" s="136">
        <v>9</v>
      </c>
      <c r="H156" s="135">
        <f t="shared" si="1"/>
        <v>9</v>
      </c>
      <c r="I156" s="136">
        <v>11</v>
      </c>
      <c r="J156" s="135">
        <f t="shared" si="2"/>
        <v>11</v>
      </c>
      <c r="K156" s="136">
        <v>13</v>
      </c>
      <c r="L156" s="135">
        <f t="shared" si="3"/>
        <v>13</v>
      </c>
      <c r="M156" s="136">
        <v>15</v>
      </c>
      <c r="N156" s="135">
        <f t="shared" si="4"/>
        <v>15</v>
      </c>
      <c r="O156" s="135">
        <f t="shared" si="4"/>
        <v>15</v>
      </c>
      <c r="P156" s="136">
        <v>17</v>
      </c>
      <c r="Q156" s="135">
        <f t="shared" si="5"/>
        <v>17</v>
      </c>
      <c r="R156" s="135">
        <f t="shared" si="5"/>
        <v>17</v>
      </c>
      <c r="S156" s="136">
        <v>20</v>
      </c>
      <c r="T156" s="135">
        <f t="shared" si="6"/>
        <v>20</v>
      </c>
      <c r="U156" s="136">
        <v>21</v>
      </c>
      <c r="V156" s="135">
        <f t="shared" si="7"/>
        <v>21</v>
      </c>
    </row>
    <row r="157" spans="2:22">
      <c r="B157" s="304" t="s">
        <v>345</v>
      </c>
      <c r="C157" s="135">
        <v>16</v>
      </c>
      <c r="D157" s="135">
        <v>21</v>
      </c>
      <c r="E157" s="135">
        <v>25</v>
      </c>
      <c r="F157" s="135">
        <v>29</v>
      </c>
      <c r="G157" s="135">
        <v>34</v>
      </c>
      <c r="H157" s="135">
        <f t="shared" si="1"/>
        <v>34</v>
      </c>
      <c r="I157" s="135">
        <v>41</v>
      </c>
      <c r="J157" s="135">
        <f t="shared" si="2"/>
        <v>41</v>
      </c>
      <c r="K157" s="135">
        <v>48</v>
      </c>
      <c r="L157" s="135">
        <f t="shared" si="3"/>
        <v>48</v>
      </c>
      <c r="M157" s="135">
        <v>55</v>
      </c>
      <c r="N157" s="135">
        <f t="shared" si="4"/>
        <v>55</v>
      </c>
      <c r="O157" s="135">
        <f t="shared" si="4"/>
        <v>55</v>
      </c>
      <c r="P157" s="135">
        <v>63</v>
      </c>
      <c r="Q157" s="135">
        <f t="shared" si="5"/>
        <v>63</v>
      </c>
      <c r="R157" s="135">
        <f t="shared" si="5"/>
        <v>63</v>
      </c>
      <c r="S157" s="135">
        <v>72</v>
      </c>
      <c r="T157" s="135">
        <f t="shared" si="6"/>
        <v>72</v>
      </c>
      <c r="U157" s="135">
        <v>78</v>
      </c>
      <c r="V157" s="135">
        <f t="shared" si="7"/>
        <v>78</v>
      </c>
    </row>
    <row r="158" spans="2:22">
      <c r="B158" s="304"/>
      <c r="C158" s="135">
        <v>4</v>
      </c>
      <c r="D158" s="135">
        <v>6</v>
      </c>
      <c r="E158" s="135">
        <v>7</v>
      </c>
      <c r="F158" s="135">
        <v>8</v>
      </c>
      <c r="G158" s="135">
        <v>9</v>
      </c>
      <c r="H158" s="135">
        <f t="shared" si="1"/>
        <v>9</v>
      </c>
      <c r="I158" s="135">
        <v>11</v>
      </c>
      <c r="J158" s="135">
        <f t="shared" si="2"/>
        <v>11</v>
      </c>
      <c r="K158" s="135">
        <v>13</v>
      </c>
      <c r="L158" s="135">
        <f t="shared" si="3"/>
        <v>13</v>
      </c>
      <c r="M158" s="135">
        <v>15</v>
      </c>
      <c r="N158" s="135">
        <f t="shared" si="4"/>
        <v>15</v>
      </c>
      <c r="O158" s="135">
        <f t="shared" si="4"/>
        <v>15</v>
      </c>
      <c r="P158" s="135">
        <v>17</v>
      </c>
      <c r="Q158" s="135">
        <f t="shared" si="5"/>
        <v>17</v>
      </c>
      <c r="R158" s="135">
        <f t="shared" si="5"/>
        <v>17</v>
      </c>
      <c r="S158" s="135">
        <v>20</v>
      </c>
      <c r="T158" s="135">
        <f t="shared" si="6"/>
        <v>20</v>
      </c>
      <c r="U158" s="135">
        <v>21</v>
      </c>
      <c r="V158" s="135">
        <f t="shared" si="7"/>
        <v>21</v>
      </c>
    </row>
    <row r="159" spans="2:22">
      <c r="B159" s="304" t="s">
        <v>346</v>
      </c>
      <c r="C159" s="136">
        <v>13</v>
      </c>
      <c r="D159" s="136">
        <v>16</v>
      </c>
      <c r="E159" s="136">
        <v>20</v>
      </c>
      <c r="F159" s="136">
        <v>24</v>
      </c>
      <c r="G159" s="136">
        <v>28</v>
      </c>
      <c r="H159" s="135">
        <f t="shared" si="1"/>
        <v>28</v>
      </c>
      <c r="I159" s="136">
        <v>33</v>
      </c>
      <c r="J159" s="135">
        <f t="shared" si="2"/>
        <v>33</v>
      </c>
      <c r="K159" s="136">
        <v>38</v>
      </c>
      <c r="L159" s="135">
        <f t="shared" si="3"/>
        <v>38</v>
      </c>
      <c r="M159" s="136">
        <v>45</v>
      </c>
      <c r="N159" s="135">
        <f t="shared" si="4"/>
        <v>45</v>
      </c>
      <c r="O159" s="135">
        <f t="shared" si="4"/>
        <v>45</v>
      </c>
      <c r="P159" s="136">
        <v>51</v>
      </c>
      <c r="Q159" s="135">
        <f t="shared" si="5"/>
        <v>51</v>
      </c>
      <c r="R159" s="135">
        <f t="shared" si="5"/>
        <v>51</v>
      </c>
      <c r="S159" s="136">
        <v>57</v>
      </c>
      <c r="T159" s="135">
        <f t="shared" si="6"/>
        <v>57</v>
      </c>
      <c r="U159" s="136">
        <v>62</v>
      </c>
      <c r="V159" s="135">
        <f t="shared" si="7"/>
        <v>62</v>
      </c>
    </row>
    <row r="160" spans="2:22">
      <c r="B160" s="304"/>
      <c r="C160" s="136">
        <v>8</v>
      </c>
      <c r="D160" s="136">
        <v>10</v>
      </c>
      <c r="E160" s="136">
        <v>12</v>
      </c>
      <c r="F160" s="136">
        <v>15</v>
      </c>
      <c r="G160" s="136">
        <v>17</v>
      </c>
      <c r="H160" s="135">
        <f t="shared" si="1"/>
        <v>17</v>
      </c>
      <c r="I160" s="136">
        <v>20</v>
      </c>
      <c r="J160" s="135">
        <f t="shared" si="2"/>
        <v>20</v>
      </c>
      <c r="K160" s="136">
        <v>23</v>
      </c>
      <c r="L160" s="135">
        <f t="shared" si="3"/>
        <v>23</v>
      </c>
      <c r="M160" s="136">
        <v>27</v>
      </c>
      <c r="N160" s="135">
        <f t="shared" si="4"/>
        <v>27</v>
      </c>
      <c r="O160" s="135">
        <f t="shared" si="4"/>
        <v>27</v>
      </c>
      <c r="P160" s="136">
        <v>31</v>
      </c>
      <c r="Q160" s="135">
        <f t="shared" si="5"/>
        <v>31</v>
      </c>
      <c r="R160" s="135">
        <f t="shared" si="5"/>
        <v>31</v>
      </c>
      <c r="S160" s="136">
        <v>34</v>
      </c>
      <c r="T160" s="135">
        <f t="shared" si="6"/>
        <v>34</v>
      </c>
      <c r="U160" s="136">
        <v>37</v>
      </c>
      <c r="V160" s="135">
        <f t="shared" si="7"/>
        <v>37</v>
      </c>
    </row>
    <row r="161" spans="2:22">
      <c r="B161" s="304" t="s">
        <v>347</v>
      </c>
      <c r="C161" s="135">
        <v>16</v>
      </c>
      <c r="D161" s="135">
        <v>19</v>
      </c>
      <c r="E161" s="135">
        <v>23</v>
      </c>
      <c r="F161" s="135">
        <v>28</v>
      </c>
      <c r="G161" s="135">
        <v>33</v>
      </c>
      <c r="H161" s="135">
        <f t="shared" si="1"/>
        <v>33</v>
      </c>
      <c r="I161" s="135">
        <v>39</v>
      </c>
      <c r="J161" s="135">
        <f t="shared" si="2"/>
        <v>39</v>
      </c>
      <c r="K161" s="135">
        <v>45</v>
      </c>
      <c r="L161" s="135">
        <f t="shared" si="3"/>
        <v>45</v>
      </c>
      <c r="M161" s="135">
        <v>52</v>
      </c>
      <c r="N161" s="135">
        <f t="shared" si="4"/>
        <v>52</v>
      </c>
      <c r="O161" s="135">
        <f t="shared" si="4"/>
        <v>52</v>
      </c>
      <c r="P161" s="135">
        <v>60</v>
      </c>
      <c r="Q161" s="135">
        <f t="shared" si="5"/>
        <v>60</v>
      </c>
      <c r="R161" s="135">
        <f t="shared" si="5"/>
        <v>60</v>
      </c>
      <c r="S161" s="135">
        <v>66</v>
      </c>
      <c r="T161" s="135">
        <f t="shared" si="6"/>
        <v>66</v>
      </c>
      <c r="U161" s="135">
        <v>73</v>
      </c>
      <c r="V161" s="135">
        <f t="shared" si="7"/>
        <v>73</v>
      </c>
    </row>
    <row r="162" spans="2:22">
      <c r="B162" s="304"/>
      <c r="C162" s="135">
        <v>8</v>
      </c>
      <c r="D162" s="135">
        <v>10</v>
      </c>
      <c r="E162" s="135">
        <v>12</v>
      </c>
      <c r="F162" s="135">
        <v>15</v>
      </c>
      <c r="G162" s="135">
        <v>17</v>
      </c>
      <c r="H162" s="135">
        <f t="shared" si="1"/>
        <v>17</v>
      </c>
      <c r="I162" s="135">
        <v>20</v>
      </c>
      <c r="J162" s="135">
        <f t="shared" si="2"/>
        <v>20</v>
      </c>
      <c r="K162" s="135">
        <v>23</v>
      </c>
      <c r="L162" s="135">
        <f t="shared" si="3"/>
        <v>23</v>
      </c>
      <c r="M162" s="135">
        <v>27</v>
      </c>
      <c r="N162" s="135">
        <f t="shared" si="4"/>
        <v>27</v>
      </c>
      <c r="O162" s="135">
        <f t="shared" si="4"/>
        <v>27</v>
      </c>
      <c r="P162" s="135">
        <v>31</v>
      </c>
      <c r="Q162" s="135">
        <f t="shared" si="5"/>
        <v>31</v>
      </c>
      <c r="R162" s="135">
        <f t="shared" si="5"/>
        <v>31</v>
      </c>
      <c r="S162" s="135">
        <v>34</v>
      </c>
      <c r="T162" s="135">
        <f t="shared" si="6"/>
        <v>34</v>
      </c>
      <c r="U162" s="135">
        <v>37</v>
      </c>
      <c r="V162" s="135">
        <f t="shared" si="7"/>
        <v>37</v>
      </c>
    </row>
    <row r="163" spans="2:22">
      <c r="B163" s="304" t="s">
        <v>348</v>
      </c>
      <c r="C163" s="136">
        <v>20</v>
      </c>
      <c r="D163" s="136">
        <v>25</v>
      </c>
      <c r="E163" s="136">
        <v>30</v>
      </c>
      <c r="F163" s="136">
        <v>36</v>
      </c>
      <c r="G163" s="136">
        <v>42</v>
      </c>
      <c r="H163" s="135">
        <f t="shared" si="1"/>
        <v>42</v>
      </c>
      <c r="I163" s="136">
        <v>50</v>
      </c>
      <c r="J163" s="135">
        <f t="shared" si="2"/>
        <v>50</v>
      </c>
      <c r="K163" s="136">
        <v>58</v>
      </c>
      <c r="L163" s="135">
        <f t="shared" si="3"/>
        <v>58</v>
      </c>
      <c r="M163" s="136">
        <v>67</v>
      </c>
      <c r="N163" s="135">
        <f t="shared" si="4"/>
        <v>67</v>
      </c>
      <c r="O163" s="135">
        <f t="shared" si="4"/>
        <v>67</v>
      </c>
      <c r="P163" s="136">
        <v>77</v>
      </c>
      <c r="Q163" s="135">
        <f t="shared" si="5"/>
        <v>77</v>
      </c>
      <c r="R163" s="135">
        <f t="shared" si="5"/>
        <v>77</v>
      </c>
      <c r="S163" s="136">
        <v>86</v>
      </c>
      <c r="T163" s="135">
        <f t="shared" si="6"/>
        <v>86</v>
      </c>
      <c r="U163" s="136">
        <v>94</v>
      </c>
      <c r="V163" s="135">
        <f t="shared" si="7"/>
        <v>94</v>
      </c>
    </row>
    <row r="164" spans="2:22">
      <c r="B164" s="304"/>
      <c r="C164" s="136">
        <v>8</v>
      </c>
      <c r="D164" s="136">
        <v>10</v>
      </c>
      <c r="E164" s="136">
        <v>12</v>
      </c>
      <c r="F164" s="136">
        <v>15</v>
      </c>
      <c r="G164" s="136">
        <v>17</v>
      </c>
      <c r="H164" s="135">
        <f t="shared" ref="H164:H170" si="8">G164</f>
        <v>17</v>
      </c>
      <c r="I164" s="136">
        <v>20</v>
      </c>
      <c r="J164" s="135">
        <f t="shared" ref="J164:J168" si="9">I164</f>
        <v>20</v>
      </c>
      <c r="K164" s="136">
        <v>23</v>
      </c>
      <c r="L164" s="135">
        <f t="shared" ref="L164:L168" si="10">K164</f>
        <v>23</v>
      </c>
      <c r="M164" s="136">
        <v>27</v>
      </c>
      <c r="N164" s="135">
        <f t="shared" ref="N164:O168" si="11">M164</f>
        <v>27</v>
      </c>
      <c r="O164" s="135">
        <f t="shared" si="11"/>
        <v>27</v>
      </c>
      <c r="P164" s="136">
        <v>31</v>
      </c>
      <c r="Q164" s="135">
        <f t="shared" ref="Q164:R168" si="12">P164</f>
        <v>31</v>
      </c>
      <c r="R164" s="135">
        <f t="shared" si="12"/>
        <v>31</v>
      </c>
      <c r="S164" s="136">
        <v>34</v>
      </c>
      <c r="T164" s="135">
        <f t="shared" ref="T164:T168" si="13">S164</f>
        <v>34</v>
      </c>
      <c r="U164" s="136">
        <v>37</v>
      </c>
      <c r="V164" s="135">
        <f t="shared" ref="V164:V168" si="14">U164</f>
        <v>37</v>
      </c>
    </row>
    <row r="165" spans="2:22">
      <c r="B165" s="304" t="s">
        <v>349</v>
      </c>
      <c r="C165" s="135">
        <v>17</v>
      </c>
      <c r="D165" s="135">
        <v>21</v>
      </c>
      <c r="E165" s="135">
        <v>26</v>
      </c>
      <c r="F165" s="135">
        <v>31</v>
      </c>
      <c r="G165" s="135">
        <v>37</v>
      </c>
      <c r="H165" s="135">
        <f t="shared" si="8"/>
        <v>37</v>
      </c>
      <c r="I165" s="135">
        <v>45</v>
      </c>
      <c r="J165" s="135">
        <f t="shared" si="9"/>
        <v>45</v>
      </c>
      <c r="K165" s="135">
        <v>52</v>
      </c>
      <c r="L165" s="135">
        <f t="shared" si="10"/>
        <v>52</v>
      </c>
      <c r="M165" s="135">
        <v>61</v>
      </c>
      <c r="N165" s="135">
        <f t="shared" si="11"/>
        <v>61</v>
      </c>
      <c r="O165" s="135">
        <f t="shared" si="11"/>
        <v>61</v>
      </c>
      <c r="P165" s="135">
        <v>70</v>
      </c>
      <c r="Q165" s="135">
        <f t="shared" si="12"/>
        <v>70</v>
      </c>
      <c r="R165" s="135">
        <f t="shared" si="12"/>
        <v>70</v>
      </c>
      <c r="S165" s="135">
        <v>79</v>
      </c>
      <c r="T165" s="135">
        <f t="shared" si="13"/>
        <v>79</v>
      </c>
      <c r="U165" s="135">
        <v>87</v>
      </c>
      <c r="V165" s="135">
        <f t="shared" si="14"/>
        <v>87</v>
      </c>
    </row>
    <row r="166" spans="2:22">
      <c r="B166" s="304"/>
      <c r="C166" s="135">
        <v>12</v>
      </c>
      <c r="D166" s="135">
        <v>15</v>
      </c>
      <c r="E166" s="135">
        <v>18</v>
      </c>
      <c r="F166" s="135">
        <v>22</v>
      </c>
      <c r="G166" s="135">
        <v>26</v>
      </c>
      <c r="H166" s="135">
        <f t="shared" si="8"/>
        <v>26</v>
      </c>
      <c r="I166" s="135">
        <v>32</v>
      </c>
      <c r="J166" s="135">
        <f t="shared" si="9"/>
        <v>32</v>
      </c>
      <c r="K166" s="135">
        <v>37</v>
      </c>
      <c r="L166" s="135">
        <f t="shared" si="10"/>
        <v>37</v>
      </c>
      <c r="M166" s="135">
        <v>43</v>
      </c>
      <c r="N166" s="135">
        <f t="shared" si="11"/>
        <v>43</v>
      </c>
      <c r="O166" s="135">
        <f t="shared" si="11"/>
        <v>43</v>
      </c>
      <c r="P166" s="135">
        <v>50</v>
      </c>
      <c r="Q166" s="135">
        <f t="shared" si="12"/>
        <v>50</v>
      </c>
      <c r="R166" s="135">
        <f t="shared" si="12"/>
        <v>50</v>
      </c>
      <c r="S166" s="135">
        <v>56</v>
      </c>
      <c r="T166" s="135">
        <f t="shared" si="13"/>
        <v>56</v>
      </c>
      <c r="U166" s="135">
        <v>62</v>
      </c>
      <c r="V166" s="135">
        <f t="shared" si="14"/>
        <v>62</v>
      </c>
    </row>
    <row r="167" spans="2:22">
      <c r="B167" s="304" t="s">
        <v>350</v>
      </c>
      <c r="C167" s="136">
        <v>20</v>
      </c>
      <c r="D167" s="136">
        <v>24</v>
      </c>
      <c r="E167" s="136">
        <v>29</v>
      </c>
      <c r="F167" s="136">
        <v>35</v>
      </c>
      <c r="G167" s="136">
        <v>42</v>
      </c>
      <c r="H167" s="135">
        <f t="shared" si="8"/>
        <v>42</v>
      </c>
      <c r="I167" s="136">
        <v>51</v>
      </c>
      <c r="J167" s="135">
        <f t="shared" si="9"/>
        <v>51</v>
      </c>
      <c r="K167" s="136">
        <v>59</v>
      </c>
      <c r="L167" s="135">
        <f t="shared" si="10"/>
        <v>59</v>
      </c>
      <c r="M167" s="136">
        <v>68</v>
      </c>
      <c r="N167" s="135">
        <f t="shared" si="11"/>
        <v>68</v>
      </c>
      <c r="O167" s="135">
        <f t="shared" si="11"/>
        <v>68</v>
      </c>
      <c r="P167" s="136">
        <v>79</v>
      </c>
      <c r="Q167" s="135">
        <f t="shared" si="12"/>
        <v>79</v>
      </c>
      <c r="R167" s="135">
        <f t="shared" si="12"/>
        <v>79</v>
      </c>
      <c r="S167" s="136">
        <v>88</v>
      </c>
      <c r="T167" s="135">
        <f t="shared" si="13"/>
        <v>88</v>
      </c>
      <c r="U167" s="136">
        <v>98</v>
      </c>
      <c r="V167" s="135">
        <f t="shared" si="14"/>
        <v>98</v>
      </c>
    </row>
    <row r="168" spans="2:22">
      <c r="B168" s="304"/>
      <c r="C168" s="136">
        <v>12</v>
      </c>
      <c r="D168" s="136">
        <v>15</v>
      </c>
      <c r="E168" s="136">
        <v>18</v>
      </c>
      <c r="F168" s="136">
        <v>22</v>
      </c>
      <c r="G168" s="136">
        <v>26</v>
      </c>
      <c r="H168" s="135">
        <f t="shared" si="8"/>
        <v>26</v>
      </c>
      <c r="I168" s="136">
        <v>32</v>
      </c>
      <c r="J168" s="135">
        <f t="shared" si="9"/>
        <v>32</v>
      </c>
      <c r="K168" s="136">
        <v>37</v>
      </c>
      <c r="L168" s="135">
        <f t="shared" si="10"/>
        <v>37</v>
      </c>
      <c r="M168" s="136">
        <v>43</v>
      </c>
      <c r="N168" s="135">
        <f t="shared" si="11"/>
        <v>43</v>
      </c>
      <c r="O168" s="135">
        <f t="shared" si="11"/>
        <v>43</v>
      </c>
      <c r="P168" s="136">
        <v>50</v>
      </c>
      <c r="Q168" s="135">
        <f t="shared" si="12"/>
        <v>50</v>
      </c>
      <c r="R168" s="135">
        <f t="shared" si="12"/>
        <v>50</v>
      </c>
      <c r="S168" s="136">
        <v>56</v>
      </c>
      <c r="T168" s="135">
        <f t="shared" si="13"/>
        <v>56</v>
      </c>
      <c r="U168" s="136">
        <v>62</v>
      </c>
      <c r="V168" s="135">
        <f t="shared" si="14"/>
        <v>62</v>
      </c>
    </row>
    <row r="169" spans="2:22">
      <c r="B169" s="304" t="s">
        <v>353</v>
      </c>
      <c r="C169" s="135">
        <v>23</v>
      </c>
      <c r="D169" s="135">
        <v>28</v>
      </c>
      <c r="E169" s="135">
        <v>34</v>
      </c>
      <c r="F169" s="135">
        <v>41</v>
      </c>
      <c r="G169" s="135">
        <v>50</v>
      </c>
      <c r="H169" s="135">
        <f t="shared" si="8"/>
        <v>50</v>
      </c>
      <c r="I169" s="135">
        <v>60</v>
      </c>
      <c r="J169" s="135">
        <v>62</v>
      </c>
      <c r="K169" s="135">
        <v>73</v>
      </c>
      <c r="L169" s="135">
        <v>76</v>
      </c>
      <c r="M169" s="135">
        <v>88</v>
      </c>
      <c r="N169" s="135">
        <v>90</v>
      </c>
      <c r="O169" s="135">
        <v>93</v>
      </c>
      <c r="P169" s="135">
        <v>106</v>
      </c>
      <c r="Q169" s="135">
        <v>109</v>
      </c>
      <c r="R169" s="135">
        <v>113</v>
      </c>
      <c r="S169" s="135">
        <v>126</v>
      </c>
      <c r="T169" s="135">
        <v>130</v>
      </c>
      <c r="U169" s="135">
        <v>144</v>
      </c>
      <c r="V169" s="135">
        <v>150</v>
      </c>
    </row>
    <row r="170" spans="2:22">
      <c r="B170" s="304"/>
      <c r="C170" s="135">
        <v>15</v>
      </c>
      <c r="D170" s="135">
        <v>19</v>
      </c>
      <c r="E170" s="135">
        <v>23</v>
      </c>
      <c r="F170" s="135">
        <v>28</v>
      </c>
      <c r="G170" s="135">
        <v>34</v>
      </c>
      <c r="H170" s="135">
        <f t="shared" si="8"/>
        <v>34</v>
      </c>
      <c r="I170" s="135">
        <v>41</v>
      </c>
      <c r="J170" s="135">
        <v>43</v>
      </c>
      <c r="K170" s="135">
        <v>51</v>
      </c>
      <c r="L170" s="135">
        <v>54</v>
      </c>
      <c r="M170" s="135">
        <v>63</v>
      </c>
      <c r="N170" s="135">
        <v>65</v>
      </c>
      <c r="O170" s="135">
        <v>68</v>
      </c>
      <c r="P170" s="135">
        <v>77</v>
      </c>
      <c r="Q170" s="135">
        <v>80</v>
      </c>
      <c r="R170" s="135">
        <v>84</v>
      </c>
      <c r="S170" s="135">
        <v>94</v>
      </c>
      <c r="T170" s="135">
        <v>98</v>
      </c>
      <c r="U170" s="135">
        <v>108</v>
      </c>
      <c r="V170" s="135">
        <v>114</v>
      </c>
    </row>
  </sheetData>
  <mergeCells count="40">
    <mergeCell ref="B169:B170"/>
    <mergeCell ref="B97:B98"/>
    <mergeCell ref="B167:B168"/>
    <mergeCell ref="B165:B166"/>
    <mergeCell ref="B163:B164"/>
    <mergeCell ref="B161:B162"/>
    <mergeCell ref="B159:B160"/>
    <mergeCell ref="B157:B158"/>
    <mergeCell ref="B155:B156"/>
    <mergeCell ref="B153:B154"/>
    <mergeCell ref="B151:B152"/>
    <mergeCell ref="B149:B150"/>
    <mergeCell ref="B147:B148"/>
    <mergeCell ref="B145:B146"/>
    <mergeCell ref="B143:B144"/>
    <mergeCell ref="B141:B142"/>
    <mergeCell ref="B139:B140"/>
    <mergeCell ref="B137:B138"/>
    <mergeCell ref="B135:B136"/>
    <mergeCell ref="B133:B134"/>
    <mergeCell ref="B131:B132"/>
    <mergeCell ref="B129:B130"/>
    <mergeCell ref="B127:B128"/>
    <mergeCell ref="B125:B126"/>
    <mergeCell ref="B123:B124"/>
    <mergeCell ref="B121:B122"/>
    <mergeCell ref="B119:B120"/>
    <mergeCell ref="B117:B118"/>
    <mergeCell ref="B115:B116"/>
    <mergeCell ref="B113:B114"/>
    <mergeCell ref="B111:B112"/>
    <mergeCell ref="B92:V92"/>
    <mergeCell ref="B93:V93"/>
    <mergeCell ref="B96:V96"/>
    <mergeCell ref="B99:B100"/>
    <mergeCell ref="B109:B110"/>
    <mergeCell ref="B107:B108"/>
    <mergeCell ref="B105:B106"/>
    <mergeCell ref="B103:B104"/>
    <mergeCell ref="B101:B10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E4:I6"/>
  <sheetViews>
    <sheetView workbookViewId="0">
      <selection activeCell="H8" sqref="H8"/>
    </sheetView>
  </sheetViews>
  <sheetFormatPr defaultRowHeight="15"/>
  <sheetData>
    <row r="4" spans="5:9">
      <c r="E4" t="s">
        <v>380</v>
      </c>
      <c r="G4" t="s">
        <v>381</v>
      </c>
      <c r="I4">
        <v>8</v>
      </c>
    </row>
    <row r="5" spans="5:9">
      <c r="G5" t="s">
        <v>382</v>
      </c>
      <c r="I5">
        <v>100</v>
      </c>
    </row>
    <row r="6" spans="5:9">
      <c r="G6" t="s">
        <v>383</v>
      </c>
      <c r="I6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Sheet1</vt:lpstr>
      <vt:lpstr>Datasheet</vt:lpstr>
      <vt:lpstr>Helical Gear Calculation</vt:lpstr>
      <vt:lpstr>Tolerance</vt:lpstr>
      <vt:lpstr>Spline</vt:lpstr>
      <vt:lpstr>Datasheet!Print_Area</vt:lpstr>
      <vt:lpstr>'Helical Gear Calculation'!Print_Area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2023-09-29T11:53:33Z</dcterms:modified>
</cp:coreProperties>
</file>